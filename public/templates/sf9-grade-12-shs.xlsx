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hrisdale\Documents\ojt-final-project\card-scribe-box-main\public\templates\"/>
    </mc:Choice>
  </mc:AlternateContent>
  <xr:revisionPtr revIDLastSave="0" documentId="13_ncr:1_{785E23A6-7264-41BF-940F-3C08159E9AE8}" xr6:coauthVersionLast="47" xr6:coauthVersionMax="47" xr10:uidLastSave="{00000000-0000-0000-0000-000000000000}"/>
  <bookViews>
    <workbookView xWindow="-108" yWindow="-108" windowWidth="23256" windowHeight="13896" tabRatio="776" firstSheet="2" activeTab="5" xr2:uid="{00000000-000D-0000-FFFF-FFFF00000000}"/>
  </bookViews>
  <sheets>
    <sheet name="Home" sheetId="1" r:id="rId1"/>
    <sheet name="INPUT DATA" sheetId="2" r:id="rId2"/>
    <sheet name="TERM 1 SUMMARY" sheetId="17" r:id="rId3"/>
    <sheet name="TERM 2 SUMMARY" sheetId="27" r:id="rId4"/>
    <sheet name="TERM 3 SUMMARY" sheetId="28" r:id="rId5"/>
    <sheet name="SF9 - GRADE 11 ACADEMIC" sheetId="9" r:id="rId6"/>
    <sheet name="HELPER" sheetId="26" r:id="rId7"/>
  </sheets>
  <definedNames>
    <definedName name="_xlnm.Print_Area" localSheetId="1">'INPUT DATA'!$A$1:$U$62</definedName>
    <definedName name="_xlnm.Print_Area" localSheetId="5">'SF9 - GRADE 11 ACADEMIC'!$A$2:$AD$55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44" i="9" l="1"/>
  <c r="Q48" i="9"/>
  <c r="Q59" i="9"/>
  <c r="I116" i="17"/>
  <c r="I115" i="17"/>
  <c r="I114" i="17"/>
  <c r="I113" i="17"/>
  <c r="I112" i="17"/>
  <c r="I111" i="17"/>
  <c r="I110" i="17"/>
  <c r="I109" i="17"/>
  <c r="I108" i="17"/>
  <c r="I107" i="17"/>
  <c r="I106" i="17"/>
  <c r="I105" i="17"/>
  <c r="I104" i="17"/>
  <c r="I103" i="17"/>
  <c r="I102" i="17"/>
  <c r="I101" i="17"/>
  <c r="I100" i="17"/>
  <c r="I99" i="17"/>
  <c r="I98" i="17"/>
  <c r="I97" i="17"/>
  <c r="I96" i="17"/>
  <c r="I95" i="17"/>
  <c r="I94" i="17"/>
  <c r="I93" i="17"/>
  <c r="I92" i="17"/>
  <c r="I91" i="17"/>
  <c r="I90" i="17"/>
  <c r="I89" i="17"/>
  <c r="I88" i="17"/>
  <c r="I87" i="17"/>
  <c r="I86" i="17"/>
  <c r="I85" i="17"/>
  <c r="I84" i="17"/>
  <c r="I83" i="17"/>
  <c r="I82" i="17"/>
  <c r="I81" i="17"/>
  <c r="I80" i="17"/>
  <c r="I79" i="17"/>
  <c r="I78" i="17"/>
  <c r="I77" i="17"/>
  <c r="I76" i="17"/>
  <c r="I75" i="17"/>
  <c r="I74" i="17"/>
  <c r="I73" i="17"/>
  <c r="I72" i="17"/>
  <c r="I71" i="17"/>
  <c r="I70" i="17"/>
  <c r="I69" i="17"/>
  <c r="I68" i="17"/>
  <c r="I67" i="17"/>
  <c r="I65" i="17"/>
  <c r="I64" i="17"/>
  <c r="I63" i="17"/>
  <c r="I62" i="17"/>
  <c r="I61" i="17"/>
  <c r="I60" i="17"/>
  <c r="I59" i="17"/>
  <c r="I58" i="17"/>
  <c r="I57" i="17"/>
  <c r="I56" i="17"/>
  <c r="I55" i="17"/>
  <c r="I54" i="17"/>
  <c r="I53" i="17"/>
  <c r="I52" i="17"/>
  <c r="I51" i="17"/>
  <c r="I50" i="17"/>
  <c r="I49" i="17"/>
  <c r="I48" i="17"/>
  <c r="I47" i="17"/>
  <c r="I46" i="17"/>
  <c r="I45" i="17"/>
  <c r="I44" i="17"/>
  <c r="I43" i="17"/>
  <c r="I42" i="17"/>
  <c r="I41" i="17"/>
  <c r="I40" i="17"/>
  <c r="I39" i="17"/>
  <c r="I38" i="17"/>
  <c r="I37" i="17"/>
  <c r="I36" i="17"/>
  <c r="I35" i="17"/>
  <c r="I34" i="17"/>
  <c r="I33" i="17"/>
  <c r="I32" i="17"/>
  <c r="I31" i="17"/>
  <c r="I30" i="17"/>
  <c r="I29" i="17"/>
  <c r="I28" i="17"/>
  <c r="I27" i="17"/>
  <c r="I26" i="17"/>
  <c r="I25" i="17"/>
  <c r="I24" i="17"/>
  <c r="I23" i="17"/>
  <c r="I22" i="17"/>
  <c r="I21" i="17"/>
  <c r="I20" i="17"/>
  <c r="I19" i="17"/>
  <c r="I18" i="17"/>
  <c r="I17" i="17"/>
  <c r="K18" i="9"/>
  <c r="I18" i="9"/>
  <c r="I25" i="27" l="1"/>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K17" i="9"/>
  <c r="O6" i="28" l="1"/>
  <c r="J6" i="28"/>
  <c r="E6" i="28"/>
  <c r="J5" i="28"/>
  <c r="E5" i="28"/>
  <c r="O6" i="27"/>
  <c r="J6" i="27"/>
  <c r="E6" i="27"/>
  <c r="J5" i="27"/>
  <c r="E5" i="27"/>
  <c r="H116" i="28"/>
  <c r="I116" i="28" s="1"/>
  <c r="F116" i="28"/>
  <c r="C116" i="28"/>
  <c r="H115" i="28"/>
  <c r="I115" i="28" s="1"/>
  <c r="F115" i="28"/>
  <c r="C115" i="28"/>
  <c r="H114" i="28"/>
  <c r="I114" i="28" s="1"/>
  <c r="F114" i="28"/>
  <c r="C114" i="28"/>
  <c r="H113" i="28"/>
  <c r="I113" i="28" s="1"/>
  <c r="F113" i="28"/>
  <c r="C113" i="28"/>
  <c r="H112" i="28"/>
  <c r="I112" i="28" s="1"/>
  <c r="F112" i="28"/>
  <c r="C112" i="28"/>
  <c r="H111" i="28"/>
  <c r="I111" i="28" s="1"/>
  <c r="F111" i="28"/>
  <c r="C111" i="28"/>
  <c r="H110" i="28"/>
  <c r="I110" i="28" s="1"/>
  <c r="F110" i="28"/>
  <c r="C110" i="28"/>
  <c r="H109" i="28"/>
  <c r="I109" i="28" s="1"/>
  <c r="F109" i="28"/>
  <c r="C109" i="28"/>
  <c r="H108" i="28"/>
  <c r="I108" i="28" s="1"/>
  <c r="F108" i="28"/>
  <c r="C108" i="28"/>
  <c r="H107" i="28"/>
  <c r="I107" i="28" s="1"/>
  <c r="F107" i="28"/>
  <c r="C107" i="28"/>
  <c r="H106" i="28"/>
  <c r="I106" i="28" s="1"/>
  <c r="F106" i="28"/>
  <c r="C106" i="28"/>
  <c r="H105" i="28"/>
  <c r="I105" i="28" s="1"/>
  <c r="F105" i="28"/>
  <c r="C105" i="28"/>
  <c r="H104" i="28"/>
  <c r="I104" i="28" s="1"/>
  <c r="F104" i="28"/>
  <c r="C104" i="28"/>
  <c r="H103" i="28"/>
  <c r="I103" i="28" s="1"/>
  <c r="F103" i="28"/>
  <c r="C103" i="28"/>
  <c r="H102" i="28"/>
  <c r="I102" i="28" s="1"/>
  <c r="F102" i="28"/>
  <c r="C102" i="28"/>
  <c r="H101" i="28"/>
  <c r="I101" i="28" s="1"/>
  <c r="F101" i="28"/>
  <c r="C101" i="28"/>
  <c r="H100" i="28"/>
  <c r="I100" i="28" s="1"/>
  <c r="F100" i="28"/>
  <c r="C100" i="28"/>
  <c r="H99" i="28"/>
  <c r="I99" i="28" s="1"/>
  <c r="F99" i="28"/>
  <c r="C99" i="28"/>
  <c r="H98" i="28"/>
  <c r="I98" i="28" s="1"/>
  <c r="F98" i="28"/>
  <c r="C98" i="28"/>
  <c r="H97" i="28"/>
  <c r="I97" i="28" s="1"/>
  <c r="F97" i="28"/>
  <c r="C97" i="28"/>
  <c r="H96" i="28"/>
  <c r="I96" i="28" s="1"/>
  <c r="F96" i="28"/>
  <c r="C96" i="28"/>
  <c r="H95" i="28"/>
  <c r="I95" i="28" s="1"/>
  <c r="F95" i="28"/>
  <c r="C95" i="28"/>
  <c r="H94" i="28"/>
  <c r="I94" i="28" s="1"/>
  <c r="F94" i="28"/>
  <c r="C94" i="28"/>
  <c r="H93" i="28"/>
  <c r="I93" i="28" s="1"/>
  <c r="F93" i="28"/>
  <c r="C93" i="28"/>
  <c r="H92" i="28"/>
  <c r="I92" i="28" s="1"/>
  <c r="F92" i="28"/>
  <c r="C92" i="28"/>
  <c r="H91" i="28"/>
  <c r="I91" i="28" s="1"/>
  <c r="F91" i="28"/>
  <c r="C91" i="28"/>
  <c r="H90" i="28"/>
  <c r="I90" i="28" s="1"/>
  <c r="F90" i="28"/>
  <c r="C90" i="28"/>
  <c r="H89" i="28"/>
  <c r="I89" i="28" s="1"/>
  <c r="F89" i="28"/>
  <c r="C89" i="28"/>
  <c r="H88" i="28"/>
  <c r="I88" i="28" s="1"/>
  <c r="F88" i="28"/>
  <c r="C88" i="28"/>
  <c r="H87" i="28"/>
  <c r="I87" i="28" s="1"/>
  <c r="F87" i="28"/>
  <c r="C87" i="28"/>
  <c r="H86" i="28"/>
  <c r="I86" i="28" s="1"/>
  <c r="F86" i="28"/>
  <c r="C86" i="28"/>
  <c r="H85" i="28"/>
  <c r="I85" i="28" s="1"/>
  <c r="F85" i="28"/>
  <c r="C85" i="28"/>
  <c r="H84" i="28"/>
  <c r="I84" i="28" s="1"/>
  <c r="F84" i="28"/>
  <c r="C84" i="28"/>
  <c r="H83" i="28"/>
  <c r="I83" i="28" s="1"/>
  <c r="F83" i="28"/>
  <c r="C83" i="28"/>
  <c r="H82" i="28"/>
  <c r="I82" i="28" s="1"/>
  <c r="F82" i="28"/>
  <c r="C82" i="28"/>
  <c r="H81" i="28"/>
  <c r="I81" i="28" s="1"/>
  <c r="F81" i="28"/>
  <c r="C81" i="28"/>
  <c r="H80" i="28"/>
  <c r="I80" i="28" s="1"/>
  <c r="F80" i="28"/>
  <c r="C80" i="28"/>
  <c r="H79" i="28"/>
  <c r="I79" i="28" s="1"/>
  <c r="F79" i="28"/>
  <c r="C79" i="28"/>
  <c r="H78" i="28"/>
  <c r="I78" i="28" s="1"/>
  <c r="F78" i="28"/>
  <c r="C78" i="28"/>
  <c r="H77" i="28"/>
  <c r="I77" i="28" s="1"/>
  <c r="F77" i="28"/>
  <c r="C77" i="28"/>
  <c r="H76" i="28"/>
  <c r="I76" i="28" s="1"/>
  <c r="F76" i="28"/>
  <c r="C76" i="28"/>
  <c r="H75" i="28"/>
  <c r="I75" i="28" s="1"/>
  <c r="F75" i="28"/>
  <c r="C75" i="28"/>
  <c r="H74" i="28"/>
  <c r="I74" i="28" s="1"/>
  <c r="F74" i="28"/>
  <c r="C74" i="28"/>
  <c r="H73" i="28"/>
  <c r="I73" i="28" s="1"/>
  <c r="F73" i="28"/>
  <c r="C73" i="28"/>
  <c r="H72" i="28"/>
  <c r="I72" i="28" s="1"/>
  <c r="F72" i="28"/>
  <c r="C72" i="28"/>
  <c r="H71" i="28"/>
  <c r="I71" i="28" s="1"/>
  <c r="F71" i="28"/>
  <c r="C71" i="28"/>
  <c r="H70" i="28"/>
  <c r="I70" i="28" s="1"/>
  <c r="F70" i="28"/>
  <c r="C70" i="28"/>
  <c r="H69" i="28"/>
  <c r="I69" i="28" s="1"/>
  <c r="F69" i="28"/>
  <c r="C69" i="28"/>
  <c r="H68" i="28"/>
  <c r="I68" i="28" s="1"/>
  <c r="F68" i="28"/>
  <c r="C68" i="28"/>
  <c r="H67" i="28"/>
  <c r="I67" i="28" s="1"/>
  <c r="F67" i="28"/>
  <c r="C67" i="28"/>
  <c r="H65" i="28"/>
  <c r="I65" i="28" s="1"/>
  <c r="F65" i="28"/>
  <c r="C65" i="28"/>
  <c r="H64" i="28"/>
  <c r="I64" i="28" s="1"/>
  <c r="F64" i="28"/>
  <c r="C64" i="28"/>
  <c r="H63" i="28"/>
  <c r="I63" i="28" s="1"/>
  <c r="F63" i="28"/>
  <c r="C63" i="28"/>
  <c r="H62" i="28"/>
  <c r="I62" i="28" s="1"/>
  <c r="F62" i="28"/>
  <c r="C62" i="28"/>
  <c r="H61" i="28"/>
  <c r="I61" i="28" s="1"/>
  <c r="F61" i="28"/>
  <c r="C61" i="28"/>
  <c r="H60" i="28"/>
  <c r="I60" i="28" s="1"/>
  <c r="F60" i="28"/>
  <c r="C60" i="28"/>
  <c r="H59" i="28"/>
  <c r="I59" i="28" s="1"/>
  <c r="F59" i="28"/>
  <c r="C59" i="28"/>
  <c r="H58" i="28"/>
  <c r="I58" i="28" s="1"/>
  <c r="F58" i="28"/>
  <c r="C58" i="28"/>
  <c r="H57" i="28"/>
  <c r="I57" i="28" s="1"/>
  <c r="F57" i="28"/>
  <c r="C57" i="28"/>
  <c r="H56" i="28"/>
  <c r="I56" i="28" s="1"/>
  <c r="F56" i="28"/>
  <c r="C56" i="28"/>
  <c r="H55" i="28"/>
  <c r="I55" i="28" s="1"/>
  <c r="F55" i="28"/>
  <c r="C55" i="28"/>
  <c r="H54" i="28"/>
  <c r="I54" i="28" s="1"/>
  <c r="F54" i="28"/>
  <c r="C54" i="28"/>
  <c r="H53" i="28"/>
  <c r="I53" i="28" s="1"/>
  <c r="F53" i="28"/>
  <c r="C53" i="28"/>
  <c r="H52" i="28"/>
  <c r="I52" i="28" s="1"/>
  <c r="F52" i="28"/>
  <c r="C52" i="28"/>
  <c r="H51" i="28"/>
  <c r="I51" i="28" s="1"/>
  <c r="F51" i="28"/>
  <c r="C51" i="28"/>
  <c r="H50" i="28"/>
  <c r="I50" i="28" s="1"/>
  <c r="F50" i="28"/>
  <c r="C50" i="28"/>
  <c r="H49" i="28"/>
  <c r="I49" i="28" s="1"/>
  <c r="F49" i="28"/>
  <c r="C49" i="28"/>
  <c r="H48" i="28"/>
  <c r="I48" i="28" s="1"/>
  <c r="F48" i="28"/>
  <c r="C48" i="28"/>
  <c r="H47" i="28"/>
  <c r="I47" i="28" s="1"/>
  <c r="F47" i="28"/>
  <c r="C47" i="28"/>
  <c r="H46" i="28"/>
  <c r="I46" i="28" s="1"/>
  <c r="F46" i="28"/>
  <c r="C46" i="28"/>
  <c r="H45" i="28"/>
  <c r="I45" i="28" s="1"/>
  <c r="F45" i="28"/>
  <c r="C45" i="28"/>
  <c r="H44" i="28"/>
  <c r="I44" i="28" s="1"/>
  <c r="F44" i="28"/>
  <c r="C44" i="28"/>
  <c r="H43" i="28"/>
  <c r="I43" i="28" s="1"/>
  <c r="F43" i="28"/>
  <c r="C43" i="28"/>
  <c r="H42" i="28"/>
  <c r="I42" i="28" s="1"/>
  <c r="F42" i="28"/>
  <c r="C42" i="28"/>
  <c r="H41" i="28"/>
  <c r="I41" i="28" s="1"/>
  <c r="F41" i="28"/>
  <c r="C41" i="28"/>
  <c r="H40" i="28"/>
  <c r="I40" i="28" s="1"/>
  <c r="F40" i="28"/>
  <c r="C40" i="28"/>
  <c r="H39" i="28"/>
  <c r="I39" i="28" s="1"/>
  <c r="F39" i="28"/>
  <c r="C39" i="28"/>
  <c r="H38" i="28"/>
  <c r="I38" i="28" s="1"/>
  <c r="F38" i="28"/>
  <c r="C38" i="28"/>
  <c r="H37" i="28"/>
  <c r="I37" i="28" s="1"/>
  <c r="F37" i="28"/>
  <c r="C37" i="28"/>
  <c r="H36" i="28"/>
  <c r="I36" i="28" s="1"/>
  <c r="F36" i="28"/>
  <c r="C36" i="28"/>
  <c r="H35" i="28"/>
  <c r="I35" i="28" s="1"/>
  <c r="F35" i="28"/>
  <c r="C35" i="28"/>
  <c r="H34" i="28"/>
  <c r="I34" i="28" s="1"/>
  <c r="F34" i="28"/>
  <c r="C34" i="28"/>
  <c r="H33" i="28"/>
  <c r="I33" i="28" s="1"/>
  <c r="F33" i="28"/>
  <c r="C33" i="28"/>
  <c r="H32" i="28"/>
  <c r="I32" i="28" s="1"/>
  <c r="F32" i="28"/>
  <c r="C32" i="28"/>
  <c r="H31" i="28"/>
  <c r="I31" i="28" s="1"/>
  <c r="F31" i="28"/>
  <c r="C31" i="28"/>
  <c r="H30" i="28"/>
  <c r="I30" i="28" s="1"/>
  <c r="F30" i="28"/>
  <c r="C30" i="28"/>
  <c r="H29" i="28"/>
  <c r="I29" i="28" s="1"/>
  <c r="F29" i="28"/>
  <c r="C29" i="28"/>
  <c r="H28" i="28"/>
  <c r="I28" i="28" s="1"/>
  <c r="F28" i="28"/>
  <c r="C28" i="28"/>
  <c r="H27" i="28"/>
  <c r="I27" i="28" s="1"/>
  <c r="F27" i="28"/>
  <c r="C27" i="28"/>
  <c r="H26" i="28"/>
  <c r="I26" i="28" s="1"/>
  <c r="F26" i="28"/>
  <c r="C26" i="28"/>
  <c r="H25" i="28"/>
  <c r="I25" i="28" s="1"/>
  <c r="F25" i="28"/>
  <c r="C25" i="28"/>
  <c r="H24" i="28"/>
  <c r="I24" i="28" s="1"/>
  <c r="F24" i="28"/>
  <c r="C24" i="28"/>
  <c r="H23" i="28"/>
  <c r="I23" i="28" s="1"/>
  <c r="F23" i="28"/>
  <c r="C23" i="28"/>
  <c r="H22" i="28"/>
  <c r="I22" i="28" s="1"/>
  <c r="F22" i="28"/>
  <c r="C22" i="28"/>
  <c r="H21" i="28"/>
  <c r="I21" i="28" s="1"/>
  <c r="F21" i="28"/>
  <c r="C21" i="28"/>
  <c r="H20" i="28"/>
  <c r="I20" i="28" s="1"/>
  <c r="F20" i="28"/>
  <c r="C20" i="28"/>
  <c r="H19" i="28"/>
  <c r="I19" i="28" s="1"/>
  <c r="F19" i="28"/>
  <c r="C19" i="28"/>
  <c r="H18" i="28"/>
  <c r="I18" i="28" s="1"/>
  <c r="F18" i="28"/>
  <c r="C18" i="28"/>
  <c r="H17" i="28"/>
  <c r="I17" i="28" s="1"/>
  <c r="F17" i="28"/>
  <c r="C17" i="28"/>
  <c r="H16" i="28"/>
  <c r="I16" i="28" s="1"/>
  <c r="F16" i="28"/>
  <c r="C16" i="28"/>
  <c r="H34" i="9" s="1"/>
  <c r="O10" i="28"/>
  <c r="G10" i="28"/>
  <c r="O9" i="28"/>
  <c r="G9" i="28"/>
  <c r="R6" i="28"/>
  <c r="H116" i="27"/>
  <c r="I116" i="27" s="1"/>
  <c r="F116" i="27"/>
  <c r="C116" i="27"/>
  <c r="H115" i="27"/>
  <c r="I115" i="27" s="1"/>
  <c r="F115" i="27"/>
  <c r="C115" i="27"/>
  <c r="H114" i="27"/>
  <c r="I114" i="27" s="1"/>
  <c r="F114" i="27"/>
  <c r="C114" i="27"/>
  <c r="H113" i="27"/>
  <c r="I113" i="27" s="1"/>
  <c r="F113" i="27"/>
  <c r="C113" i="27"/>
  <c r="H112" i="27"/>
  <c r="I112" i="27" s="1"/>
  <c r="F112" i="27"/>
  <c r="C112" i="27"/>
  <c r="H111" i="27"/>
  <c r="I111" i="27" s="1"/>
  <c r="F111" i="27"/>
  <c r="C111" i="27"/>
  <c r="H110" i="27"/>
  <c r="I110" i="27" s="1"/>
  <c r="F110" i="27"/>
  <c r="C110" i="27"/>
  <c r="H109" i="27"/>
  <c r="I109" i="27" s="1"/>
  <c r="F109" i="27"/>
  <c r="C109" i="27"/>
  <c r="H108" i="27"/>
  <c r="I108" i="27" s="1"/>
  <c r="F108" i="27"/>
  <c r="C108" i="27"/>
  <c r="H107" i="27"/>
  <c r="I107" i="27" s="1"/>
  <c r="F107" i="27"/>
  <c r="C107" i="27"/>
  <c r="H106" i="27"/>
  <c r="I106" i="27" s="1"/>
  <c r="F106" i="27"/>
  <c r="C106" i="27"/>
  <c r="H105" i="27"/>
  <c r="I105" i="27" s="1"/>
  <c r="F105" i="27"/>
  <c r="C105" i="27"/>
  <c r="H104" i="27"/>
  <c r="I104" i="27" s="1"/>
  <c r="F104" i="27"/>
  <c r="C104" i="27"/>
  <c r="H103" i="27"/>
  <c r="I103" i="27" s="1"/>
  <c r="F103" i="27"/>
  <c r="C103" i="27"/>
  <c r="H102" i="27"/>
  <c r="I102" i="27" s="1"/>
  <c r="F102" i="27"/>
  <c r="C102" i="27"/>
  <c r="H101" i="27"/>
  <c r="I101" i="27" s="1"/>
  <c r="F101" i="27"/>
  <c r="C101" i="27"/>
  <c r="H100" i="27"/>
  <c r="I100" i="27" s="1"/>
  <c r="F100" i="27"/>
  <c r="C100" i="27"/>
  <c r="H99" i="27"/>
  <c r="I99" i="27" s="1"/>
  <c r="F99" i="27"/>
  <c r="C99" i="27"/>
  <c r="H98" i="27"/>
  <c r="I98" i="27" s="1"/>
  <c r="F98" i="27"/>
  <c r="C98" i="27"/>
  <c r="H97" i="27"/>
  <c r="I97" i="27" s="1"/>
  <c r="F97" i="27"/>
  <c r="C97" i="27"/>
  <c r="H96" i="27"/>
  <c r="I96" i="27" s="1"/>
  <c r="F96" i="27"/>
  <c r="C96" i="27"/>
  <c r="H95" i="27"/>
  <c r="I95" i="27" s="1"/>
  <c r="F95" i="27"/>
  <c r="C95" i="27"/>
  <c r="H94" i="27"/>
  <c r="I94" i="27" s="1"/>
  <c r="F94" i="27"/>
  <c r="C94" i="27"/>
  <c r="H93" i="27"/>
  <c r="I93" i="27" s="1"/>
  <c r="F93" i="27"/>
  <c r="C93" i="27"/>
  <c r="H92" i="27"/>
  <c r="I92" i="27" s="1"/>
  <c r="F92" i="27"/>
  <c r="C92" i="27"/>
  <c r="H91" i="27"/>
  <c r="I91" i="27" s="1"/>
  <c r="F91" i="27"/>
  <c r="C91" i="27"/>
  <c r="H90" i="27"/>
  <c r="I90" i="27" s="1"/>
  <c r="F90" i="27"/>
  <c r="C90" i="27"/>
  <c r="H89" i="27"/>
  <c r="I89" i="27" s="1"/>
  <c r="F89" i="27"/>
  <c r="C89" i="27"/>
  <c r="H88" i="27"/>
  <c r="I88" i="27" s="1"/>
  <c r="F88" i="27"/>
  <c r="C88" i="27"/>
  <c r="H87" i="27"/>
  <c r="I87" i="27" s="1"/>
  <c r="F87" i="27"/>
  <c r="C87" i="27"/>
  <c r="H86" i="27"/>
  <c r="I86" i="27" s="1"/>
  <c r="F86" i="27"/>
  <c r="C86" i="27"/>
  <c r="H85" i="27"/>
  <c r="I85" i="27" s="1"/>
  <c r="F85" i="27"/>
  <c r="C85" i="27"/>
  <c r="H84" i="27"/>
  <c r="I84" i="27" s="1"/>
  <c r="F84" i="27"/>
  <c r="C84" i="27"/>
  <c r="H83" i="27"/>
  <c r="I83" i="27" s="1"/>
  <c r="F83" i="27"/>
  <c r="C83" i="27"/>
  <c r="H82" i="27"/>
  <c r="I82" i="27" s="1"/>
  <c r="F82" i="27"/>
  <c r="C82" i="27"/>
  <c r="H81" i="27"/>
  <c r="I81" i="27" s="1"/>
  <c r="F81" i="27"/>
  <c r="C81" i="27"/>
  <c r="H80" i="27"/>
  <c r="I80" i="27" s="1"/>
  <c r="F80" i="27"/>
  <c r="C80" i="27"/>
  <c r="H79" i="27"/>
  <c r="I79" i="27" s="1"/>
  <c r="F79" i="27"/>
  <c r="C79" i="27"/>
  <c r="H78" i="27"/>
  <c r="I78" i="27" s="1"/>
  <c r="F78" i="27"/>
  <c r="C78" i="27"/>
  <c r="H77" i="27"/>
  <c r="I77" i="27" s="1"/>
  <c r="F77" i="27"/>
  <c r="C77" i="27"/>
  <c r="H76" i="27"/>
  <c r="I76" i="27" s="1"/>
  <c r="F76" i="27"/>
  <c r="C76" i="27"/>
  <c r="H75" i="27"/>
  <c r="I75" i="27" s="1"/>
  <c r="F75" i="27"/>
  <c r="C75" i="27"/>
  <c r="H74" i="27"/>
  <c r="I74" i="27" s="1"/>
  <c r="F74" i="27"/>
  <c r="C74" i="27"/>
  <c r="H73" i="27"/>
  <c r="I73" i="27" s="1"/>
  <c r="F73" i="27"/>
  <c r="C73" i="27"/>
  <c r="H72" i="27"/>
  <c r="I72" i="27" s="1"/>
  <c r="F72" i="27"/>
  <c r="C72" i="27"/>
  <c r="H71" i="27"/>
  <c r="I71" i="27" s="1"/>
  <c r="F71" i="27"/>
  <c r="C71" i="27"/>
  <c r="H70" i="27"/>
  <c r="I70" i="27" s="1"/>
  <c r="F70" i="27"/>
  <c r="C70" i="27"/>
  <c r="H69" i="27"/>
  <c r="I69" i="27" s="1"/>
  <c r="F69" i="27"/>
  <c r="C69" i="27"/>
  <c r="H68" i="27"/>
  <c r="I68" i="27" s="1"/>
  <c r="F68" i="27"/>
  <c r="C68" i="27"/>
  <c r="H67" i="27"/>
  <c r="I67" i="27" s="1"/>
  <c r="F67" i="27"/>
  <c r="C67" i="27"/>
  <c r="H65" i="27"/>
  <c r="F65" i="27"/>
  <c r="C65" i="27"/>
  <c r="H64" i="27"/>
  <c r="F64" i="27"/>
  <c r="C64" i="27"/>
  <c r="H63" i="27"/>
  <c r="F63" i="27"/>
  <c r="C63" i="27"/>
  <c r="H62" i="27"/>
  <c r="F62" i="27"/>
  <c r="C62" i="27"/>
  <c r="H61" i="27"/>
  <c r="F61" i="27"/>
  <c r="C61" i="27"/>
  <c r="H60" i="27"/>
  <c r="F60" i="27"/>
  <c r="C60" i="27"/>
  <c r="H59" i="27"/>
  <c r="F59" i="27"/>
  <c r="C59" i="27"/>
  <c r="H58" i="27"/>
  <c r="F58" i="27"/>
  <c r="C58" i="27"/>
  <c r="H57" i="27"/>
  <c r="F57" i="27"/>
  <c r="C57" i="27"/>
  <c r="H56" i="27"/>
  <c r="F56" i="27"/>
  <c r="C56" i="27"/>
  <c r="H55" i="27"/>
  <c r="F55" i="27"/>
  <c r="C55" i="27"/>
  <c r="H54" i="27"/>
  <c r="F54" i="27"/>
  <c r="C54" i="27"/>
  <c r="H53" i="27"/>
  <c r="F53" i="27"/>
  <c r="C53" i="27"/>
  <c r="H52" i="27"/>
  <c r="F52" i="27"/>
  <c r="C52" i="27"/>
  <c r="H51" i="27"/>
  <c r="F51" i="27"/>
  <c r="C51" i="27"/>
  <c r="H50" i="27"/>
  <c r="F50" i="27"/>
  <c r="C50" i="27"/>
  <c r="H49" i="27"/>
  <c r="F49" i="27"/>
  <c r="C49" i="27"/>
  <c r="H48" i="27"/>
  <c r="F48" i="27"/>
  <c r="C48" i="27"/>
  <c r="H47" i="27"/>
  <c r="F47" i="27"/>
  <c r="C47" i="27"/>
  <c r="H46" i="27"/>
  <c r="F46" i="27"/>
  <c r="C46" i="27"/>
  <c r="H45" i="27"/>
  <c r="F45" i="27"/>
  <c r="C45" i="27"/>
  <c r="H44" i="27"/>
  <c r="F44" i="27"/>
  <c r="C44" i="27"/>
  <c r="H43" i="27"/>
  <c r="F43" i="27"/>
  <c r="C43" i="27"/>
  <c r="H42" i="27"/>
  <c r="F42" i="27"/>
  <c r="C42" i="27"/>
  <c r="H41" i="27"/>
  <c r="F41" i="27"/>
  <c r="C41" i="27"/>
  <c r="H40" i="27"/>
  <c r="F40" i="27"/>
  <c r="C40" i="27"/>
  <c r="H39" i="27"/>
  <c r="F39" i="27"/>
  <c r="C39" i="27"/>
  <c r="H38" i="27"/>
  <c r="F38" i="27"/>
  <c r="C38" i="27"/>
  <c r="H37" i="27"/>
  <c r="F37" i="27"/>
  <c r="C37" i="27"/>
  <c r="H36" i="27"/>
  <c r="F36" i="27"/>
  <c r="C36" i="27"/>
  <c r="H35" i="27"/>
  <c r="F35" i="27"/>
  <c r="C35" i="27"/>
  <c r="H34" i="27"/>
  <c r="F34" i="27"/>
  <c r="C34" i="27"/>
  <c r="H33" i="27"/>
  <c r="F33" i="27"/>
  <c r="C33" i="27"/>
  <c r="H32" i="27"/>
  <c r="F32" i="27"/>
  <c r="C32" i="27"/>
  <c r="H31" i="27"/>
  <c r="F31" i="27"/>
  <c r="C31" i="27"/>
  <c r="H30" i="27"/>
  <c r="F30" i="27"/>
  <c r="C30" i="27"/>
  <c r="H29" i="27"/>
  <c r="F29" i="27"/>
  <c r="C29" i="27"/>
  <c r="H28" i="27"/>
  <c r="F28" i="27"/>
  <c r="C28" i="27"/>
  <c r="H27" i="27"/>
  <c r="F27" i="27"/>
  <c r="C27" i="27"/>
  <c r="H26" i="27"/>
  <c r="F26" i="27"/>
  <c r="C26" i="27"/>
  <c r="H25" i="27"/>
  <c r="F25" i="27"/>
  <c r="C25" i="27"/>
  <c r="H24" i="27"/>
  <c r="I24" i="27" s="1"/>
  <c r="F24" i="27"/>
  <c r="C24" i="27"/>
  <c r="H23" i="27"/>
  <c r="I23" i="27" s="1"/>
  <c r="F23" i="27"/>
  <c r="C23" i="27"/>
  <c r="H22" i="27"/>
  <c r="I22" i="27" s="1"/>
  <c r="F22" i="27"/>
  <c r="C22" i="27"/>
  <c r="H21" i="27"/>
  <c r="I21" i="27" s="1"/>
  <c r="F21" i="27"/>
  <c r="C21" i="27"/>
  <c r="H20" i="27"/>
  <c r="I20" i="27" s="1"/>
  <c r="F20" i="27"/>
  <c r="C20" i="27"/>
  <c r="H19" i="27"/>
  <c r="I19" i="27" s="1"/>
  <c r="F19" i="27"/>
  <c r="C19" i="27"/>
  <c r="H18" i="27"/>
  <c r="I18" i="27" s="1"/>
  <c r="F18" i="27"/>
  <c r="C18" i="27"/>
  <c r="H17" i="27"/>
  <c r="I17" i="27" s="1"/>
  <c r="F17" i="27"/>
  <c r="C17" i="27"/>
  <c r="H16" i="27"/>
  <c r="I16" i="27" s="1"/>
  <c r="F16" i="27"/>
  <c r="C16" i="27"/>
  <c r="O10" i="27"/>
  <c r="G10" i="27"/>
  <c r="O9" i="27"/>
  <c r="G9" i="27"/>
  <c r="H33" i="9" l="1"/>
  <c r="G36" i="9"/>
  <c r="G35" i="9"/>
  <c r="G37" i="9"/>
  <c r="H37" i="9"/>
  <c r="H36" i="9"/>
  <c r="H35" i="9"/>
  <c r="G34" i="9"/>
  <c r="G33" i="9"/>
  <c r="E19" i="9"/>
  <c r="H27" i="9"/>
  <c r="B27" i="9"/>
  <c r="L44" i="9" l="1"/>
  <c r="L45" i="9"/>
  <c r="O10" i="17"/>
  <c r="O9" i="17"/>
  <c r="G10" i="17"/>
  <c r="G9" i="17"/>
  <c r="O6" i="17"/>
  <c r="J6" i="17"/>
  <c r="J5" i="17"/>
  <c r="E6" i="17"/>
  <c r="E5" i="17"/>
  <c r="F69" i="17" l="1"/>
  <c r="F68" i="17"/>
  <c r="F67" i="17"/>
  <c r="H116" i="17" l="1"/>
  <c r="F116" i="17"/>
  <c r="C116" i="17"/>
  <c r="H115" i="17"/>
  <c r="F115" i="17"/>
  <c r="C115" i="17"/>
  <c r="H114" i="17"/>
  <c r="F114" i="17"/>
  <c r="C114" i="17"/>
  <c r="H113" i="17"/>
  <c r="F113" i="17"/>
  <c r="C113" i="17"/>
  <c r="H112" i="17"/>
  <c r="F112" i="17"/>
  <c r="C112" i="17"/>
  <c r="H111" i="17"/>
  <c r="F111" i="17"/>
  <c r="C111" i="17"/>
  <c r="H110" i="17"/>
  <c r="F110" i="17"/>
  <c r="C110" i="17"/>
  <c r="H109" i="17"/>
  <c r="F109" i="17"/>
  <c r="C109" i="17"/>
  <c r="H108" i="17"/>
  <c r="F108" i="17"/>
  <c r="C108" i="17"/>
  <c r="H107" i="17"/>
  <c r="F107" i="17"/>
  <c r="C107" i="17"/>
  <c r="H106" i="17"/>
  <c r="F106" i="17"/>
  <c r="C106" i="17"/>
  <c r="H105" i="17"/>
  <c r="F105" i="17"/>
  <c r="C105" i="17"/>
  <c r="H104" i="17"/>
  <c r="F104" i="17"/>
  <c r="C104" i="17"/>
  <c r="H103" i="17"/>
  <c r="F103" i="17"/>
  <c r="C103" i="17"/>
  <c r="H102" i="17"/>
  <c r="F102" i="17"/>
  <c r="C102" i="17"/>
  <c r="H101" i="17"/>
  <c r="F101" i="17"/>
  <c r="C101" i="17"/>
  <c r="H100" i="17"/>
  <c r="F100" i="17"/>
  <c r="C100" i="17"/>
  <c r="H99" i="17"/>
  <c r="F99" i="17"/>
  <c r="C99" i="17"/>
  <c r="H98" i="17"/>
  <c r="F98" i="17"/>
  <c r="C98" i="17"/>
  <c r="H97" i="17"/>
  <c r="F97" i="17"/>
  <c r="C97" i="17"/>
  <c r="H96" i="17"/>
  <c r="F96" i="17"/>
  <c r="C96" i="17"/>
  <c r="H95" i="17"/>
  <c r="F95" i="17"/>
  <c r="C95" i="17"/>
  <c r="H94" i="17"/>
  <c r="F94" i="17"/>
  <c r="C94" i="17"/>
  <c r="H93" i="17"/>
  <c r="F93" i="17"/>
  <c r="C93" i="17"/>
  <c r="H92" i="17"/>
  <c r="F92" i="17"/>
  <c r="C92" i="17"/>
  <c r="H91" i="17"/>
  <c r="F91" i="17"/>
  <c r="C91" i="17"/>
  <c r="H90" i="17"/>
  <c r="F90" i="17"/>
  <c r="C90" i="17"/>
  <c r="H89" i="17"/>
  <c r="F89" i="17"/>
  <c r="C89" i="17"/>
  <c r="H88" i="17"/>
  <c r="F88" i="17"/>
  <c r="C88" i="17"/>
  <c r="H87" i="17"/>
  <c r="F87" i="17"/>
  <c r="C87" i="17"/>
  <c r="H86" i="17"/>
  <c r="F86" i="17"/>
  <c r="C86" i="17"/>
  <c r="H85" i="17"/>
  <c r="F85" i="17"/>
  <c r="C85" i="17"/>
  <c r="H84" i="17"/>
  <c r="F84" i="17"/>
  <c r="C84" i="17"/>
  <c r="H83" i="17"/>
  <c r="F83" i="17"/>
  <c r="C83" i="17"/>
  <c r="H82" i="17"/>
  <c r="F82" i="17"/>
  <c r="C82" i="17"/>
  <c r="H81" i="17"/>
  <c r="F81" i="17"/>
  <c r="C81" i="17"/>
  <c r="H80" i="17"/>
  <c r="F80" i="17"/>
  <c r="C80" i="17"/>
  <c r="H79" i="17"/>
  <c r="F79" i="17"/>
  <c r="C79" i="17"/>
  <c r="H78" i="17"/>
  <c r="F78" i="17"/>
  <c r="C78" i="17"/>
  <c r="H77" i="17"/>
  <c r="F77" i="17"/>
  <c r="C77" i="17"/>
  <c r="H76" i="17"/>
  <c r="F76" i="17"/>
  <c r="C76" i="17"/>
  <c r="H75" i="17"/>
  <c r="F75" i="17"/>
  <c r="C75" i="17"/>
  <c r="H74" i="17"/>
  <c r="F74" i="17"/>
  <c r="C74" i="17"/>
  <c r="H73" i="17"/>
  <c r="F73" i="17"/>
  <c r="C73" i="17"/>
  <c r="H72" i="17"/>
  <c r="F72" i="17"/>
  <c r="C72" i="17"/>
  <c r="H71" i="17"/>
  <c r="F71" i="17"/>
  <c r="C71" i="17"/>
  <c r="H70" i="17"/>
  <c r="F70" i="17"/>
  <c r="C70" i="17"/>
  <c r="H69" i="17"/>
  <c r="C69" i="17"/>
  <c r="H68" i="17"/>
  <c r="C68" i="17"/>
  <c r="H67" i="17"/>
  <c r="C67" i="17"/>
  <c r="H65" i="17"/>
  <c r="F65" i="17"/>
  <c r="C65" i="17"/>
  <c r="H64" i="17"/>
  <c r="F64" i="17"/>
  <c r="C64" i="17"/>
  <c r="H63" i="17"/>
  <c r="F63" i="17"/>
  <c r="C63" i="17"/>
  <c r="H62" i="17"/>
  <c r="F62" i="17"/>
  <c r="C62" i="17"/>
  <c r="H61" i="17"/>
  <c r="F61" i="17"/>
  <c r="C61" i="17"/>
  <c r="H60" i="17"/>
  <c r="F60" i="17"/>
  <c r="C60" i="17"/>
  <c r="H59" i="17"/>
  <c r="F59" i="17"/>
  <c r="C59" i="17"/>
  <c r="H58" i="17"/>
  <c r="F58" i="17"/>
  <c r="C58" i="17"/>
  <c r="H57" i="17"/>
  <c r="F57" i="17"/>
  <c r="C57" i="17"/>
  <c r="H56" i="17"/>
  <c r="F56" i="17"/>
  <c r="C56" i="17"/>
  <c r="H55" i="17"/>
  <c r="F55" i="17"/>
  <c r="C55" i="17"/>
  <c r="H54" i="17"/>
  <c r="F54" i="17"/>
  <c r="C54" i="17"/>
  <c r="H53" i="17"/>
  <c r="F53" i="17"/>
  <c r="C53" i="17"/>
  <c r="H52" i="17"/>
  <c r="F52" i="17"/>
  <c r="C52" i="17"/>
  <c r="H51" i="17"/>
  <c r="F51" i="17"/>
  <c r="C51" i="17"/>
  <c r="H50" i="17"/>
  <c r="F50" i="17"/>
  <c r="C50" i="17"/>
  <c r="H49" i="17"/>
  <c r="F49" i="17"/>
  <c r="C49" i="17"/>
  <c r="H48" i="17"/>
  <c r="F48" i="17"/>
  <c r="C48" i="17"/>
  <c r="H47" i="17"/>
  <c r="F47" i="17"/>
  <c r="C47" i="17"/>
  <c r="H46" i="17"/>
  <c r="F46" i="17"/>
  <c r="C46" i="17"/>
  <c r="H45" i="17"/>
  <c r="F45" i="17"/>
  <c r="C45" i="17"/>
  <c r="H44" i="17"/>
  <c r="F44" i="17"/>
  <c r="C44" i="17"/>
  <c r="H43" i="17"/>
  <c r="F43" i="17"/>
  <c r="C43" i="17"/>
  <c r="H42" i="17"/>
  <c r="F42" i="17"/>
  <c r="C42" i="17"/>
  <c r="H41" i="17"/>
  <c r="F41" i="17"/>
  <c r="C41" i="17"/>
  <c r="H40" i="17"/>
  <c r="F40" i="17"/>
  <c r="C40" i="17"/>
  <c r="H39" i="17"/>
  <c r="F39" i="17"/>
  <c r="C39" i="17"/>
  <c r="H38" i="17"/>
  <c r="F38" i="17"/>
  <c r="C38" i="17"/>
  <c r="H37" i="17"/>
  <c r="F37" i="17"/>
  <c r="C37" i="17"/>
  <c r="H36" i="17"/>
  <c r="F36" i="17"/>
  <c r="C36" i="17"/>
  <c r="H35" i="17"/>
  <c r="F35" i="17"/>
  <c r="C35" i="17"/>
  <c r="H34" i="17"/>
  <c r="F34" i="17"/>
  <c r="C34" i="17"/>
  <c r="H33" i="17"/>
  <c r="F33" i="17"/>
  <c r="C33" i="17"/>
  <c r="H32" i="17"/>
  <c r="F32" i="17"/>
  <c r="C32" i="17"/>
  <c r="H31" i="17"/>
  <c r="F31" i="17"/>
  <c r="C31" i="17"/>
  <c r="H30" i="17"/>
  <c r="F30" i="17"/>
  <c r="C30" i="17"/>
  <c r="H29" i="17"/>
  <c r="F29" i="17"/>
  <c r="C29" i="17"/>
  <c r="H28" i="17"/>
  <c r="F28" i="17"/>
  <c r="C28" i="17"/>
  <c r="H27" i="17"/>
  <c r="F27" i="17"/>
  <c r="C27" i="17"/>
  <c r="H26" i="17"/>
  <c r="F26" i="17"/>
  <c r="C26" i="17"/>
  <c r="H25" i="17"/>
  <c r="F25" i="17"/>
  <c r="C25" i="17"/>
  <c r="H24" i="17"/>
  <c r="F24" i="17"/>
  <c r="C24" i="17"/>
  <c r="H23" i="17"/>
  <c r="F23" i="17"/>
  <c r="C23" i="17"/>
  <c r="H22" i="17"/>
  <c r="F22" i="17"/>
  <c r="C22" i="17"/>
  <c r="H21" i="17"/>
  <c r="F21" i="17"/>
  <c r="C21" i="17"/>
  <c r="H20" i="17"/>
  <c r="F20" i="17"/>
  <c r="C20" i="17"/>
  <c r="H19" i="17"/>
  <c r="F19" i="17"/>
  <c r="C19" i="17"/>
  <c r="H18" i="17"/>
  <c r="F18" i="17"/>
  <c r="C18" i="17"/>
  <c r="H17" i="17"/>
  <c r="F17" i="17"/>
  <c r="C17" i="17"/>
  <c r="H16" i="17"/>
  <c r="F16" i="17"/>
  <c r="C18" i="9" s="1"/>
  <c r="C16" i="17"/>
  <c r="I17" i="9" l="1"/>
  <c r="I16" i="17"/>
  <c r="F37" i="9"/>
  <c r="J37" i="9" s="1"/>
  <c r="F36" i="9"/>
  <c r="J36" i="9" s="1"/>
  <c r="F35" i="9"/>
  <c r="F34" i="9"/>
  <c r="F33" i="9"/>
  <c r="J33" i="9" s="1"/>
  <c r="K33" i="9" l="1"/>
  <c r="J53" i="9"/>
  <c r="L37" i="9"/>
  <c r="K37" i="9"/>
  <c r="L41" i="9"/>
  <c r="L36" i="9"/>
  <c r="L47" i="9" s="1"/>
  <c r="K36" i="9"/>
  <c r="L43" i="9"/>
  <c r="L39" i="9"/>
  <c r="L33" i="9"/>
  <c r="L46" i="9" s="1"/>
  <c r="AE35" i="9"/>
  <c r="K53" i="9" l="1"/>
  <c r="AC5" i="9" l="1"/>
  <c r="Z9" i="9"/>
  <c r="AC7" i="9" l="1"/>
  <c r="AC9" i="9" s="1"/>
</calcChain>
</file>

<file path=xl/sharedStrings.xml><?xml version="1.0" encoding="utf-8"?>
<sst xmlns="http://schemas.openxmlformats.org/spreadsheetml/2006/main" count="436" uniqueCount="315">
  <si>
    <t>Input Data Sheet for Electronic-Class Record (ECR) for Class Adviser</t>
  </si>
  <si>
    <t>School Head</t>
  </si>
  <si>
    <t>REGION</t>
  </si>
  <si>
    <t>Adviser</t>
  </si>
  <si>
    <t>LEARNERS' DATA</t>
  </si>
  <si>
    <t>DIVISION</t>
  </si>
  <si>
    <t>SCHOOL NAME</t>
  </si>
  <si>
    <t>SCHOOL ID</t>
  </si>
  <si>
    <t>:</t>
  </si>
  <si>
    <t>SCHOOL YEAR</t>
  </si>
  <si>
    <t>MALE</t>
  </si>
  <si>
    <t>LRN</t>
  </si>
  <si>
    <t>BIRTHDATE</t>
  </si>
  <si>
    <t>FEMALE</t>
  </si>
  <si>
    <t>FIRST TERM</t>
  </si>
  <si>
    <t>GRADE LEVEL</t>
  </si>
  <si>
    <t>CITY/MUNICIPALITY</t>
  </si>
  <si>
    <t>ADVISER</t>
  </si>
  <si>
    <t>DISTRICT</t>
  </si>
  <si>
    <t>SECTION</t>
  </si>
  <si>
    <t>LEARNERS' NAMES</t>
  </si>
  <si>
    <t>Date of Birth</t>
  </si>
  <si>
    <t>Age</t>
  </si>
  <si>
    <t>Learning Areas</t>
  </si>
  <si>
    <t>Final Grade</t>
  </si>
  <si>
    <t>SCHOOL HEAD</t>
  </si>
  <si>
    <t>2026_v1.0</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</si>
  <si>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</si>
  <si>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</si>
  <si>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</si>
  <si>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</si>
  <si>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</si>
  <si>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</si>
  <si>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</si>
  <si>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</si>
  <si>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</si>
  <si>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</si>
  <si>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</si>
  <si>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</si>
  <si>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</si>
  <si>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</si>
  <si>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</si>
  <si>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</si>
  <si>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</si>
  <si>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</si>
  <si>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</si>
  <si>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</si>
  <si>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</si>
  <si>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</si>
  <si>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</si>
  <si>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</si>
  <si>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</si>
  <si>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</si>
  <si>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</si>
  <si>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</si>
  <si>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</si>
  <si>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</si>
  <si>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</si>
  <si>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</si>
  <si>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</si>
  <si>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</si>
  <si>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</si>
  <si>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</si>
  <si>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</si>
  <si>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</si>
  <si>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</si>
  <si>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</si>
  <si>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</si>
  <si>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</si>
  <si>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</si>
  <si>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</si>
  <si>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</si>
  <si>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</si>
  <si>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</si>
  <si>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</si>
  <si>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</si>
  <si>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</si>
  <si>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</si>
  <si>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</si>
  <si>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</si>
  <si>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</si>
  <si>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</si>
  <si>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</si>
  <si>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</si>
  <si>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</si>
  <si>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</si>
  <si>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</si>
  <si>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</si>
  <si>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</si>
  <si>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</si>
  <si>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</si>
  <si>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</si>
  <si>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</si>
  <si>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</si>
  <si>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</si>
  <si>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</si>
  <si>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 xml:space="preserve">  Age:</t>
  </si>
  <si>
    <t xml:space="preserve">  Grade:</t>
  </si>
  <si>
    <t>School  Head</t>
  </si>
  <si>
    <t>Sex</t>
  </si>
  <si>
    <t>M</t>
  </si>
  <si>
    <t>F</t>
  </si>
  <si>
    <t>Core Subjects</t>
  </si>
  <si>
    <t>General Mathematics</t>
  </si>
  <si>
    <t>General Science</t>
  </si>
  <si>
    <t>Life and Career Skills</t>
  </si>
  <si>
    <t>Elective Subjects</t>
  </si>
  <si>
    <t>Academic Elective 1</t>
  </si>
  <si>
    <t>Academic Elective 2</t>
  </si>
  <si>
    <t>Academic Elective 3</t>
  </si>
  <si>
    <t>(Accepts Grade 11 only)</t>
  </si>
  <si>
    <t>Effective Communication</t>
  </si>
  <si>
    <t>Mabisang Komunikasyon</t>
  </si>
  <si>
    <t>PKLP</t>
  </si>
  <si>
    <t>CLASS SUMMARY</t>
  </si>
  <si>
    <t>TRACK</t>
  </si>
  <si>
    <t>HELPER</t>
  </si>
  <si>
    <t>IMPORTANT / DO NOT DELETE</t>
  </si>
  <si>
    <t>CLUSTERS OF ELECTIVES</t>
  </si>
  <si>
    <t>TechPro</t>
  </si>
  <si>
    <t>Academic</t>
  </si>
  <si>
    <t>Arts, Social Sciences, and Humanities</t>
  </si>
  <si>
    <t>Business and Entrepreneurship</t>
  </si>
  <si>
    <t>Science, Technology, Engineering, and Mathematics</t>
  </si>
  <si>
    <t>Sports, Health, and Wellness</t>
  </si>
  <si>
    <t>Field Experience</t>
  </si>
  <si>
    <t>Aesthetic, Wellness, and Human Care</t>
  </si>
  <si>
    <t>Afri-Fishery Business and Food Innovation</t>
  </si>
  <si>
    <t>Artisanry and Creative Enterprise</t>
  </si>
  <si>
    <t>Automotive and Small Engine Technologies</t>
  </si>
  <si>
    <t>Constructiton and Building Technologies</t>
  </si>
  <si>
    <t>Creative Arts and Design Technologies</t>
  </si>
  <si>
    <t>Hospital and Tourism</t>
  </si>
  <si>
    <t>ICT Support and Computer Programming Technologies</t>
  </si>
  <si>
    <t>Industrial Technologies</t>
  </si>
  <si>
    <t>Maritime</t>
  </si>
  <si>
    <t>ACADEMIC ELECTIVES</t>
  </si>
  <si>
    <t>ARTS, SOCIAL SCIENCES, AND HUMANITIES</t>
  </si>
  <si>
    <t>Creative Industries - Visual Arts</t>
  </si>
  <si>
    <t>Creative Industries - Literary Arts</t>
  </si>
  <si>
    <t>Creative Industries - Media Arts</t>
  </si>
  <si>
    <t>Creative Industries - Applied and Traditional Arts</t>
  </si>
  <si>
    <t>Creative Industries - Theater Arts</t>
  </si>
  <si>
    <t>Citizenship and Civic Engagement</t>
  </si>
  <si>
    <t>Contemporary Literature 1</t>
  </si>
  <si>
    <t>Creative Composition 1</t>
  </si>
  <si>
    <t>Creative Composition 2</t>
  </si>
  <si>
    <t>Creative Production and Presentation</t>
  </si>
  <si>
    <t>Filipino 1 (Wika at Komunikasyon sa Akademikong Filipino)</t>
  </si>
  <si>
    <t>Filipino 2 (Filipino sa Isports)</t>
  </si>
  <si>
    <t>Filipino 2 (Filipino sa Sining at Disenyo)</t>
  </si>
  <si>
    <t>Filipino 2 (Filipino sa Larang Teknikal-Propesyonal)</t>
  </si>
  <si>
    <t>Filipino Identity Through the Arts</t>
  </si>
  <si>
    <t>Introduction to the Philosophy of the Human Person</t>
  </si>
  <si>
    <t>Leadership and Management in the Arts</t>
  </si>
  <si>
    <t>Malikhaing Pagsulat</t>
  </si>
  <si>
    <t>Performance Criticism and Creative Markets</t>
  </si>
  <si>
    <t>Contemporary Literature 2</t>
  </si>
  <si>
    <t>Creative Industries - Music</t>
  </si>
  <si>
    <t>Creative Industries - Dance</t>
  </si>
  <si>
    <t xml:space="preserve">Art Criticism and Creative Markets </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</si>
  <si>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</si>
  <si>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</si>
  <si>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</si>
  <si>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</si>
  <si>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</si>
  <si>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</si>
  <si>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</si>
  <si>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</si>
  <si>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</si>
  <si>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</si>
  <si>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r>
      <rPr>
        <sz val="7"/>
        <color rgb="FF000000"/>
        <rFont val="Arial"/>
        <family val="2"/>
        <scheme val="major"/>
      </rPr>
      <t xml:space="preserve"> </t>
    </r>
    <r>
      <rPr>
        <sz val="10"/>
        <color rgb="FF000000"/>
        <rFont val="Arial"/>
        <family val="2"/>
        <scheme val="major"/>
      </rPr>
      <t>Advanced Mathematics</t>
    </r>
  </si>
  <si>
    <t>Basic Calculus</t>
  </si>
  <si>
    <r>
      <rPr>
        <sz val="7"/>
        <color rgb="FF000000"/>
        <rFont val="Arial"/>
        <family val="2"/>
        <scheme val="major"/>
      </rPr>
      <t xml:space="preserve"> </t>
    </r>
    <r>
      <rPr>
        <sz val="10"/>
        <color rgb="FF000000"/>
        <rFont val="Arial"/>
        <family val="2"/>
        <scheme val="major"/>
      </rPr>
      <t>Biology 1</t>
    </r>
  </si>
  <si>
    <t>Biology 2</t>
  </si>
  <si>
    <t>Biology 3</t>
  </si>
  <si>
    <t>Biology 4</t>
  </si>
  <si>
    <t>Chemistry 1</t>
  </si>
  <si>
    <t>Chemistry 2</t>
  </si>
  <si>
    <t>Chemistry 3</t>
  </si>
  <si>
    <t>Chemistry 4</t>
  </si>
  <si>
    <t>Conceptual Physics and Chemistry in Daily Life</t>
  </si>
  <si>
    <t>Conceptual Biology and Earth and Space Science</t>
  </si>
  <si>
    <t>Database Management</t>
  </si>
  <si>
    <t>Earth and Space Science 1</t>
  </si>
  <si>
    <t>Earth and Space Science 2</t>
  </si>
  <si>
    <t>Earth and Space Science 3</t>
  </si>
  <si>
    <t>Earth and Space Science 4</t>
  </si>
  <si>
    <t>Empowerment Technologies</t>
  </si>
  <si>
    <t>Finite Mathematics 1</t>
  </si>
  <si>
    <t>Finite Mathematics 2</t>
  </si>
  <si>
    <t>Fundamentals of Data Analytics</t>
  </si>
  <si>
    <t>Physics 1</t>
  </si>
  <si>
    <r>
      <rPr>
        <sz val="7"/>
        <color rgb="FF000000"/>
        <rFont val="Arial"/>
        <family val="2"/>
        <scheme val="major"/>
      </rPr>
      <t xml:space="preserve"> </t>
    </r>
    <r>
      <rPr>
        <sz val="10"/>
        <color rgb="FF000000"/>
        <rFont val="Arial"/>
        <family val="2"/>
        <scheme val="major"/>
      </rPr>
      <t>Physics 2</t>
    </r>
  </si>
  <si>
    <t>Physics 3</t>
  </si>
  <si>
    <t>Physics 4</t>
  </si>
  <si>
    <t>Pre-Calculus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</si>
  <si>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</si>
  <si>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</si>
  <si>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</si>
  <si>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</si>
  <si>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</si>
  <si>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</si>
  <si>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</si>
  <si>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</si>
  <si>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</si>
  <si>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</si>
  <si>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SPORTS, HEALTH, AND WELLNESS</t>
  </si>
  <si>
    <t>FIELD EXPERIENCE</t>
  </si>
  <si>
    <t>Arts Apprenticeship – Dance</t>
  </si>
  <si>
    <t>Arts Apprenticeship - Literary Arts</t>
  </si>
  <si>
    <t>Arts Apprenticeship - Media Arts</t>
  </si>
  <si>
    <t xml:space="preserve">Arts Apprenticeship – Music </t>
  </si>
  <si>
    <t xml:space="preserve">Arts Apprenticeship – Theater Arts </t>
  </si>
  <si>
    <t xml:space="preserve">Arts Apprenticeship – Traditional Cultural Expressions </t>
  </si>
  <si>
    <t>Arts Apprenticeship – Visual Arts</t>
  </si>
  <si>
    <t>Design and Innovation</t>
  </si>
  <si>
    <t>Research 1</t>
  </si>
  <si>
    <t>Research 2</t>
  </si>
  <si>
    <t>In-Campus Field Exposure for Sports</t>
  </si>
  <si>
    <t>Field Exposure (Off Campus)</t>
  </si>
  <si>
    <t>Work Immersion for Academic Track</t>
  </si>
  <si>
    <t>Subjects</t>
  </si>
  <si>
    <t>Cluster of Electives</t>
  </si>
  <si>
    <t>Units</t>
  </si>
  <si>
    <t>CORE SUBJECTS</t>
  </si>
  <si>
    <t>Effective Communication/ Mabisang Komunikasyon</t>
  </si>
  <si>
    <t>Pag-aaral ng Kasaysayan at Lipunang Pilipino</t>
  </si>
  <si>
    <t>UNITS</t>
  </si>
  <si>
    <t>Term Grade</t>
  </si>
  <si>
    <t>Effective Communication and Mabisang Komunikasyon</t>
  </si>
  <si>
    <t/>
  </si>
  <si>
    <t>TECHPRO ELECTIVES</t>
  </si>
  <si>
    <t>AESTHETIC, WELLNESS, AND HUMAN CARE</t>
  </si>
  <si>
    <t>Caregiving (Adult Care)</t>
  </si>
  <si>
    <t>Caregiving (Child Care)</t>
  </si>
  <si>
    <t>Hairdressing Services</t>
  </si>
  <si>
    <t>Units per Term</t>
  </si>
  <si>
    <t xml:space="preserve">AGRI-FISHERY BUSINESS AND FOOD INNOVATION  </t>
  </si>
  <si>
    <t>Agricultural Crops Production</t>
  </si>
  <si>
    <t xml:space="preserve">Agro-entrepreneurship </t>
  </si>
  <si>
    <t xml:space="preserve">Aquaculture </t>
  </si>
  <si>
    <t>Fish Capture Operation</t>
  </si>
  <si>
    <t xml:space="preserve">Food Processing </t>
  </si>
  <si>
    <t xml:space="preserve">Organic Agriculture Production </t>
  </si>
  <si>
    <t>Poultry Production (Chicken)</t>
  </si>
  <si>
    <t xml:space="preserve">Ruminants Production </t>
  </si>
  <si>
    <t xml:space="preserve">Swine Production </t>
  </si>
  <si>
    <t>Garments Artisanry</t>
  </si>
  <si>
    <t>Handicrafts: Weaving</t>
  </si>
  <si>
    <t>ARTISANRY AND CREATIVE ENTERPRISE</t>
  </si>
  <si>
    <t>AUTOMOTIVE AND SMALL ENGINE TECHNOLOGIES</t>
  </si>
  <si>
    <t xml:space="preserve">Automotive Servicing (Electrical Repair) </t>
  </si>
  <si>
    <t xml:space="preserve">Automotive Servicing (Engine and Chassis Repairs) </t>
  </si>
  <si>
    <t xml:space="preserve">Driving and Automotive Servicing </t>
  </si>
  <si>
    <t xml:space="preserve">Motorcycle and Small Engine Servicing </t>
  </si>
  <si>
    <t xml:space="preserve">Carpentry </t>
  </si>
  <si>
    <t xml:space="preserve">Construction Operation </t>
  </si>
  <si>
    <t xml:space="preserve">Manual Metal Arc Welding </t>
  </si>
  <si>
    <t xml:space="preserve">Technical Drafting </t>
  </si>
  <si>
    <t>CONSTRUCTION AND BUILDING TECHNOLOGIES</t>
  </si>
  <si>
    <t>CREATIVE ARTS AND DESIGN TECHNOLOGIES</t>
  </si>
  <si>
    <t xml:space="preserve">Animation </t>
  </si>
  <si>
    <t xml:space="preserve">Illustration </t>
  </si>
  <si>
    <t>Visual Graphic Design</t>
  </si>
  <si>
    <t>Bakery Operations</t>
  </si>
  <si>
    <t>Events Management Services</t>
  </si>
  <si>
    <t>Food and Beverage Operation</t>
  </si>
  <si>
    <t>Hotel Operations (Front Office Services)</t>
  </si>
  <si>
    <t>Hotel Operations (Housekeeping Services)</t>
  </si>
  <si>
    <t>Kitchen Operations</t>
  </si>
  <si>
    <t>Tourism Services</t>
  </si>
  <si>
    <t>HOSPITALITY AND TOURISM</t>
  </si>
  <si>
    <t>INDUSTRIAL TECHNOLOGIES</t>
  </si>
  <si>
    <t xml:space="preserve">Commercial Air-Conditioning Installation and Servicing </t>
  </si>
  <si>
    <t xml:space="preserve">Domestic Refrigeration and Air-Conditioning Servicing </t>
  </si>
  <si>
    <t xml:space="preserve">Electrical Installation and Maintenance </t>
  </si>
  <si>
    <t xml:space="preserve">Electronic Products Assembly and Servicing </t>
  </si>
  <si>
    <t xml:space="preserve">Mechatronics </t>
  </si>
  <si>
    <t xml:space="preserve">Photovoltaic Systems Installation </t>
  </si>
  <si>
    <t>ICT SUPPORT AND COMPUTER PROGRAMMING TECHNOLOGIES</t>
  </si>
  <si>
    <t xml:space="preserve">Broadband Installation </t>
  </si>
  <si>
    <t xml:space="preserve">Computer Programming (Java) </t>
  </si>
  <si>
    <t xml:space="preserve">Computer Programming (.Net Technology) </t>
  </si>
  <si>
    <t xml:space="preserve">Computer Programming (Oracle Database) </t>
  </si>
  <si>
    <t>Computer Systems Servicing</t>
  </si>
  <si>
    <t>Contact Center Services</t>
  </si>
  <si>
    <t>MARITIME</t>
  </si>
  <si>
    <t>Marine Engineering at the Support Level</t>
  </si>
  <si>
    <t>Marine Transportation at the Support Level</t>
  </si>
  <si>
    <t xml:space="preserve">Ships Catering Services </t>
  </si>
  <si>
    <t>WORK IMMERSION</t>
  </si>
  <si>
    <t>Work Immersion for Tech-Pro Track</t>
  </si>
  <si>
    <r>
      <rPr>
        <sz val="7"/>
        <color rgb="FF000000"/>
        <rFont val="Arial"/>
        <family val="2"/>
        <scheme val="minor"/>
      </rPr>
      <t xml:space="preserve"> </t>
    </r>
    <r>
      <rPr>
        <sz val="10"/>
        <color rgb="FF000000"/>
        <rFont val="Arial"/>
        <family val="2"/>
        <scheme val="minor"/>
      </rPr>
      <t>Aesthetic Services (Beauty Care)</t>
    </r>
  </si>
  <si>
    <r>
      <t xml:space="preserve">Sheet Protection Password: </t>
    </r>
    <r>
      <rPr>
        <b/>
        <sz val="12"/>
        <color rgb="FFFF0000"/>
        <rFont val="Arial"/>
        <family val="2"/>
      </rPr>
      <t>password123</t>
    </r>
  </si>
  <si>
    <t>Media and Information Literacy</t>
  </si>
  <si>
    <t>PE and Health 3</t>
  </si>
  <si>
    <t>Introduction to Human Philosophy</t>
  </si>
  <si>
    <t>Disaster Readiness and Risk Reduction</t>
  </si>
  <si>
    <t>Contemporary Philippine Arts</t>
  </si>
  <si>
    <t>PE and Health 4</t>
  </si>
  <si>
    <t>Applied and Specialized Subjects</t>
  </si>
  <si>
    <t>Filipino sa Piling Larang</t>
  </si>
  <si>
    <t>Practical Research 2</t>
  </si>
  <si>
    <t>General Biology 1</t>
  </si>
  <si>
    <t>General Physics 1</t>
  </si>
  <si>
    <t>English for Academic &amp; Professional Purposes</t>
  </si>
  <si>
    <t>General Physics 2</t>
  </si>
  <si>
    <t>General Biology 2</t>
  </si>
  <si>
    <t>Inquiries, Investigation and Immersion</t>
  </si>
  <si>
    <t>Capstone Project</t>
  </si>
  <si>
    <t>AGUSAN DEL SUR NATIONAL SCIENCE HIGH SCHOOL</t>
  </si>
  <si>
    <t>Prosperidad, Agusan del Sur</t>
  </si>
  <si>
    <t>Prosperidad District</t>
  </si>
  <si>
    <t>SCHOOLS DIVISION OFFICE OF AGUSAN DEL 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</si>
</sst>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i/>
      <sz val="11"/>
      <color rgb="FF002060"/>
      <name val="Arial"/>
      <family val="2"/>
    </font>
    <font>
      <b/>
      <sz val="12"/>
      <color theme="1"/>
      <name val="Bookman Old Style"/>
      <family val="1"/>
    </font>
    <font>
      <sz val="12"/>
      <color theme="1"/>
      <name val="Bookman Old Style"/>
      <family val="1"/>
    </font>
    <font>
      <sz val="12"/>
      <color rgb="FF000000"/>
      <name val="Bookman Old Style"/>
      <family val="1"/>
    </font>
    <font>
      <b/>
      <sz val="11"/>
      <color theme="1"/>
      <name val="Bookman Old Style"/>
      <family val="1"/>
    </font>
    <font>
      <b/>
      <sz val="23"/>
      <color theme="1"/>
      <name val="Arial"/>
      <family val="2"/>
    </font>
    <font>
      <sz val="10"/>
      <color rgb="FF000000"/>
      <name val="Arial"/>
      <family val="2"/>
      <scheme val="minor"/>
    </font>
    <font>
      <b/>
      <sz val="12"/>
      <color theme="1"/>
      <name val="Arial"/>
      <family val="2"/>
      <scheme val="minor"/>
    </font>
    <font>
      <b/>
      <sz val="10"/>
      <name val="Arial"/>
      <family val="2"/>
    </font>
    <font>
      <b/>
      <sz val="12"/>
      <color rgb="FF000000"/>
      <name val="Bookman Old Style"/>
      <family val="1"/>
    </font>
    <font>
      <b/>
      <sz val="11"/>
      <color rgb="FF002060"/>
      <name val="Arial"/>
      <family val="2"/>
    </font>
    <font>
      <b/>
      <sz val="20"/>
      <color theme="1"/>
      <name val="Arial"/>
      <family val="2"/>
      <scheme val="minor"/>
    </font>
    <font>
      <b/>
      <i/>
      <sz val="14"/>
      <color rgb="FF000000"/>
      <name val="Bookman Old Style'"/>
    </font>
    <font>
      <b/>
      <i/>
      <sz val="12"/>
      <color theme="1"/>
      <name val="Bookman Old Style"/>
      <family val="1"/>
    </font>
    <font>
      <i/>
      <sz val="12"/>
      <color rgb="FF000000"/>
      <name val="Bookman Old Style"/>
      <family val="1"/>
    </font>
    <font>
      <sz val="11"/>
      <color rgb="FF000000"/>
      <name val="Bookman Old Style"/>
      <family val="1"/>
    </font>
    <font>
      <b/>
      <sz val="9"/>
      <color theme="1"/>
      <name val="Arial"/>
      <family val="2"/>
      <scheme val="minor"/>
    </font>
    <font>
      <b/>
      <i/>
      <sz val="9"/>
      <color theme="1"/>
      <name val="Arial"/>
      <family val="2"/>
      <scheme val="minor"/>
    </font>
    <font>
      <b/>
      <sz val="11"/>
      <color rgb="FF000000"/>
      <name val="Arial"/>
      <family val="2"/>
      <scheme val="minor"/>
    </font>
    <font>
      <b/>
      <sz val="30"/>
      <color theme="1"/>
      <name val="Arial"/>
      <family val="2"/>
    </font>
    <font>
      <b/>
      <sz val="22"/>
      <color rgb="FFFF0000"/>
      <name val="Arial"/>
      <family val="2"/>
    </font>
    <font>
      <b/>
      <sz val="10"/>
      <color rgb="FF000000"/>
      <name val="Arial"/>
      <family val="2"/>
      <scheme val="minor"/>
    </font>
    <font>
      <b/>
      <sz val="12"/>
      <color rgb="FF000000"/>
      <name val="Arial"/>
      <family val="2"/>
      <scheme val="minor"/>
    </font>
    <font>
      <b/>
      <sz val="14"/>
      <color rgb="FF000000"/>
      <name val="Arial"/>
      <family val="2"/>
      <scheme val="minor"/>
    </font>
    <font>
      <b/>
      <sz val="14"/>
      <color theme="0"/>
      <name val="Arial"/>
      <family val="2"/>
      <scheme val="minor"/>
    </font>
    <font>
      <sz val="10"/>
      <color rgb="FF000000"/>
      <name val="Arial"/>
      <family val="2"/>
      <scheme val="major"/>
    </font>
    <font>
      <sz val="7"/>
      <color rgb="FF000000"/>
      <name val="Arial"/>
      <family val="2"/>
      <scheme val="major"/>
    </font>
    <font>
      <b/>
      <sz val="10"/>
      <color rgb="FF000000"/>
      <name val="Arial"/>
      <family val="2"/>
      <scheme val="major"/>
    </font>
    <font>
      <b/>
      <sz val="10"/>
      <color theme="0"/>
      <name val="Arial"/>
      <family val="2"/>
      <scheme val="major"/>
    </font>
    <font>
      <b/>
      <sz val="10"/>
      <color theme="0"/>
      <name val="Arial"/>
      <family val="2"/>
      <scheme val="minor"/>
    </font>
    <font>
      <b/>
      <sz val="14"/>
      <color rgb="FF000000"/>
      <name val="Bookman Old Style"/>
      <family val="1"/>
    </font>
    <font>
      <sz val="12"/>
      <color theme="0"/>
      <name val="Bookman Old Style"/>
      <family val="1"/>
    </font>
    <font>
      <sz val="12"/>
      <color theme="0"/>
      <name val="Arial"/>
      <family val="2"/>
      <scheme val="minor"/>
    </font>
    <font>
      <b/>
      <sz val="14"/>
      <color theme="1"/>
      <name val="Bookman Old Style"/>
      <family val="1"/>
    </font>
    <font>
      <sz val="7"/>
      <color rgb="FF000000"/>
      <name val="Arial"/>
      <family val="2"/>
      <scheme val="minor"/>
    </font>
    <font>
      <b/>
      <sz val="12"/>
      <color theme="1"/>
      <name val="Arial"/>
      <family val="2"/>
    </font>
    <font>
      <b/>
      <sz val="12"/>
      <color rgb="FFFF0000"/>
      <name val="Arial"/>
      <family val="2"/>
    </font>
    <font>
      <sz val="10"/>
      <color rgb="FF000000"/>
      <name val="Bookman Old Style"/>
      <family val="1"/>
    </font>
    <font>
      <b/>
      <sz val="11"/>
      <color rgb="FF000000"/>
      <name val="Bookman Old Style"/>
      <family val="1"/>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ECECEC"/>
      </patternFill>
    </fill>
    <fill>
      <patternFill patternType="solid">
        <fgColor rgb="FFFF0000"/>
        <bgColor indexed="64"/>
      </patternFill>
    </fill>
    <fill>
      <patternFill patternType="solid">
        <fgColor rgb="FF00B0F0"/>
        <bgColor indexed="64"/>
      </patternFill>
    </fill>
    <fill>
      <patternFill patternType="solid">
        <fgColor theme="6"/>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0" tint="-0.14999847407452621"/>
        <bgColor indexed="64"/>
      </patternFill>
    </fill>
    <fill>
      <patternFill patternType="solid">
        <fgColor theme="0" tint="-0.249977111117893"/>
        <bgColor indexed="64"/>
      </patternFill>
    </fill>
  </fills>
  <borders count="147">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rgb="FF000000"/>
      </bottom>
      <diagonal/>
    </border>
    <border>
      <left/>
      <right/>
      <top style="medium">
        <color rgb="FF000000"/>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style="medium">
        <color indexed="64"/>
      </right>
      <top/>
      <bottom/>
      <diagonal/>
    </border>
    <border>
      <left/>
      <right/>
      <top style="thin">
        <color indexed="64"/>
      </top>
      <bottom style="thin">
        <color indexed="64"/>
      </bottom>
      <diagonal/>
    </border>
    <border>
      <left/>
      <right style="medium">
        <color indexed="64"/>
      </right>
      <top style="medium">
        <color rgb="FF000000"/>
      </top>
      <bottom style="medium">
        <color rgb="FF000000"/>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rgb="FF000000"/>
      </left>
      <right/>
      <top style="medium">
        <color indexed="64"/>
      </top>
      <bottom style="medium">
        <color rgb="FF000000"/>
      </bottom>
      <diagonal/>
    </border>
    <border>
      <left style="medium">
        <color rgb="FF000000"/>
      </left>
      <right style="medium">
        <color rgb="FF000000"/>
      </right>
      <top/>
      <bottom style="medium">
        <color indexed="64"/>
      </bottom>
      <diagonal/>
    </border>
    <border>
      <left style="medium">
        <color indexed="64"/>
      </left>
      <right style="medium">
        <color indexed="64"/>
      </right>
      <top style="medium">
        <color rgb="FF000000"/>
      </top>
      <bottom style="medium">
        <color indexed="64"/>
      </bottom>
      <diagonal/>
    </border>
    <border>
      <left style="medium">
        <color indexed="64"/>
      </left>
      <right/>
      <top style="medium">
        <color rgb="FF000000"/>
      </top>
      <bottom style="medium">
        <color rgb="FF000000"/>
      </bottom>
      <diagonal/>
    </border>
    <border>
      <left style="medium">
        <color indexed="64"/>
      </left>
      <right style="thin">
        <color rgb="FF000000"/>
      </right>
      <top/>
      <bottom style="thin">
        <color rgb="FF000000"/>
      </bottom>
      <diagonal/>
    </border>
    <border>
      <left style="medium">
        <color rgb="FF000000"/>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rgb="FF000000"/>
      </left>
      <right style="medium">
        <color indexed="64"/>
      </right>
      <top style="thin">
        <color rgb="FF000000"/>
      </top>
      <bottom/>
      <diagonal/>
    </border>
    <border>
      <left style="medium">
        <color indexed="64"/>
      </left>
      <right style="thin">
        <color rgb="FF000000"/>
      </right>
      <top style="thin">
        <color rgb="FF000000"/>
      </top>
      <bottom style="medium">
        <color rgb="FF000000"/>
      </bottom>
      <diagonal/>
    </border>
    <border>
      <left style="medium">
        <color rgb="FF000000"/>
      </left>
      <right style="medium">
        <color indexed="64"/>
      </right>
      <top style="thin">
        <color rgb="FF000000"/>
      </top>
      <bottom style="medium">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rgb="FF000000"/>
      </right>
      <top style="thin">
        <color rgb="FF000000"/>
      </top>
      <bottom style="medium">
        <color indexed="64"/>
      </bottom>
      <diagonal/>
    </border>
    <border>
      <left style="medium">
        <color rgb="FF000000"/>
      </left>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38" fillId="0" borderId="63"/>
  </cellStyleXfs>
  <cellXfs count="472">
    <xf numFmtId="0" fontId="0" fillId="0" borderId="0" xfId="0"/>
    <xf numFmtId="0" fontId="8" fillId="0" borderId="0" xfId="0" applyFont="1" applyAlignment="1">
      <alignment vertical="center"/>
    </xf>
    <xf numFmtId="0" fontId="8" fillId="4" borderId="27" xfId="0" applyFont="1" applyFill="1" applyBorder="1" applyAlignment="1">
      <alignment vertical="center"/>
    </xf>
    <xf numFmtId="0" fontId="8" fillId="4" borderId="28" xfId="0" applyFont="1" applyFill="1" applyBorder="1" applyAlignment="1">
      <alignment vertical="center"/>
    </xf>
    <xf numFmtId="0" fontId="8" fillId="4" borderId="29" xfId="0" applyFont="1" applyFill="1" applyBorder="1" applyAlignment="1">
      <alignment vertical="center"/>
    </xf>
    <xf numFmtId="0" fontId="8" fillId="4" borderId="30" xfId="0" applyFont="1" applyFill="1" applyBorder="1" applyAlignment="1">
      <alignment vertical="center"/>
    </xf>
    <xf numFmtId="0" fontId="14" fillId="5" borderId="32" xfId="0" applyFont="1" applyFill="1" applyBorder="1" applyAlignment="1">
      <alignment horizontal="center" vertical="center"/>
    </xf>
    <xf numFmtId="0" fontId="13" fillId="3" borderId="35" xfId="0" applyFont="1" applyFill="1" applyBorder="1" applyAlignment="1">
      <alignment vertical="center"/>
    </xf>
    <xf numFmtId="0" fontId="8" fillId="3" borderId="36" xfId="0" applyFont="1" applyFill="1" applyBorder="1" applyAlignment="1">
      <alignment vertical="center"/>
    </xf>
    <xf numFmtId="0" fontId="13" fillId="3" borderId="10" xfId="0" applyFont="1" applyFill="1" applyBorder="1" applyAlignment="1">
      <alignment horizontal="center"/>
    </xf>
    <xf numFmtId="0" fontId="8" fillId="3" borderId="37" xfId="0" applyFont="1" applyFill="1" applyBorder="1" applyAlignment="1">
      <alignment vertical="center"/>
    </xf>
    <xf numFmtId="0" fontId="8" fillId="5" borderId="32" xfId="0" applyFont="1" applyFill="1" applyBorder="1" applyAlignment="1">
      <alignment vertical="center"/>
    </xf>
    <xf numFmtId="0" fontId="8" fillId="5" borderId="36" xfId="0" applyFont="1" applyFill="1" applyBorder="1" applyAlignment="1">
      <alignment vertical="center"/>
    </xf>
    <xf numFmtId="0" fontId="8" fillId="5" borderId="37" xfId="0" applyFont="1" applyFill="1" applyBorder="1" applyAlignment="1">
      <alignment vertical="center"/>
    </xf>
    <xf numFmtId="0" fontId="8" fillId="5" borderId="44" xfId="0" applyFont="1" applyFill="1" applyBorder="1" applyAlignment="1">
      <alignment horizontal="left" vertical="center"/>
    </xf>
    <xf numFmtId="0" fontId="8" fillId="4" borderId="54" xfId="0" applyFont="1" applyFill="1" applyBorder="1" applyAlignment="1">
      <alignment vertical="center"/>
    </xf>
    <xf numFmtId="0" fontId="8" fillId="4" borderId="55" xfId="0" applyFont="1" applyFill="1" applyBorder="1" applyAlignment="1">
      <alignment vertical="center"/>
    </xf>
    <xf numFmtId="0" fontId="8" fillId="4" borderId="56" xfId="0" applyFont="1" applyFill="1" applyBorder="1" applyAlignment="1">
      <alignment vertical="center"/>
    </xf>
    <xf numFmtId="0" fontId="16" fillId="0" borderId="0" xfId="0" applyFont="1"/>
    <xf numFmtId="0" fontId="8" fillId="4" borderId="59" xfId="0" applyFont="1" applyFill="1" applyBorder="1" applyAlignment="1">
      <alignment vertical="center"/>
    </xf>
    <xf numFmtId="0" fontId="8" fillId="4" borderId="60" xfId="0" applyFont="1" applyFill="1" applyBorder="1" applyAlignment="1">
      <alignment vertical="center"/>
    </xf>
    <xf numFmtId="0" fontId="8" fillId="5" borderId="61" xfId="0" applyFont="1" applyFill="1" applyBorder="1" applyAlignment="1">
      <alignment vertical="center"/>
    </xf>
    <xf numFmtId="0" fontId="14" fillId="5" borderId="61" xfId="0" applyFont="1" applyFill="1" applyBorder="1" applyAlignment="1">
      <alignment horizontal="center" vertical="center"/>
    </xf>
    <xf numFmtId="0" fontId="8" fillId="4" borderId="62" xfId="0" applyFont="1" applyFill="1" applyBorder="1" applyAlignment="1">
      <alignment vertical="center"/>
    </xf>
    <xf numFmtId="0" fontId="14" fillId="5" borderId="13" xfId="0" applyFont="1" applyFill="1" applyBorder="1" applyAlignment="1">
      <alignment horizontal="center" vertical="center"/>
    </xf>
    <xf numFmtId="0" fontId="14" fillId="5" borderId="7" xfId="0" applyFont="1" applyFill="1" applyBorder="1" applyAlignment="1">
      <alignment vertical="center"/>
    </xf>
    <xf numFmtId="0" fontId="8" fillId="5" borderId="8" xfId="0" applyFont="1" applyFill="1" applyBorder="1" applyAlignment="1">
      <alignment vertical="center"/>
    </xf>
    <xf numFmtId="0" fontId="14" fillId="5" borderId="8" xfId="0" applyFont="1" applyFill="1" applyBorder="1" applyAlignment="1">
      <alignment horizontal="center" vertical="center"/>
    </xf>
    <xf numFmtId="0" fontId="8" fillId="4" borderId="65" xfId="0" applyFont="1" applyFill="1" applyBorder="1" applyAlignment="1">
      <alignment vertical="center"/>
    </xf>
    <xf numFmtId="0" fontId="20" fillId="0" borderId="0" xfId="0" applyFont="1" applyAlignment="1">
      <alignment horizontal="right" vertical="center"/>
    </xf>
    <xf numFmtId="0" fontId="14" fillId="5" borderId="37" xfId="0" applyFont="1" applyFill="1" applyBorder="1" applyAlignment="1">
      <alignment horizontal="center" vertical="center"/>
    </xf>
    <xf numFmtId="0" fontId="5" fillId="0" borderId="36" xfId="0" applyFont="1" applyBorder="1" applyAlignment="1">
      <alignment horizontal="left"/>
    </xf>
    <xf numFmtId="0" fontId="32" fillId="5" borderId="36" xfId="0" applyFont="1" applyFill="1" applyBorder="1" applyAlignment="1">
      <alignment vertical="center"/>
    </xf>
    <xf numFmtId="0" fontId="8" fillId="5" borderId="33" xfId="0" applyFont="1" applyFill="1" applyBorder="1" applyAlignment="1">
      <alignment horizontal="left" vertical="center"/>
    </xf>
    <xf numFmtId="0" fontId="28" fillId="5" borderId="37" xfId="0" applyFont="1" applyFill="1" applyBorder="1" applyAlignment="1">
      <alignment vertical="center"/>
    </xf>
    <xf numFmtId="0" fontId="0" fillId="0" borderId="63" xfId="0" applyBorder="1"/>
    <xf numFmtId="0" fontId="42" fillId="5" borderId="45" xfId="0" applyFont="1" applyFill="1" applyBorder="1" applyAlignment="1">
      <alignment vertical="center"/>
    </xf>
    <xf numFmtId="0" fontId="9" fillId="0" borderId="8" xfId="0" applyFont="1" applyBorder="1" applyAlignment="1" applyProtection="1">
      <alignment horizontal="center"/>
      <protection hidden="1"/>
    </xf>
    <xf numFmtId="0" fontId="3" fillId="8" borderId="97" xfId="0" applyFont="1" applyFill="1" applyBorder="1" applyAlignment="1" applyProtection="1">
      <alignment horizontal="center" vertical="center"/>
      <protection hidden="1"/>
    </xf>
    <xf numFmtId="0" fontId="3" fillId="8" borderId="99" xfId="0" applyFont="1" applyFill="1" applyBorder="1" applyAlignment="1" applyProtection="1">
      <alignment horizontal="center" vertical="center"/>
      <protection hidden="1"/>
    </xf>
    <xf numFmtId="0" fontId="3" fillId="8" borderId="100" xfId="0" applyFont="1" applyFill="1" applyBorder="1" applyAlignment="1" applyProtection="1">
      <alignment horizontal="center" vertical="center"/>
      <protection hidden="1"/>
    </xf>
    <xf numFmtId="0" fontId="3" fillId="8" borderId="101" xfId="0" applyFont="1" applyFill="1" applyBorder="1" applyAlignment="1" applyProtection="1">
      <alignment horizontal="center" vertical="center"/>
      <protection hidden="1"/>
    </xf>
    <xf numFmtId="0" fontId="11" fillId="0" borderId="0" xfId="0" applyFont="1" applyProtection="1">
      <protection hidden="1"/>
    </xf>
    <xf numFmtId="3" fontId="34" fillId="0" borderId="87" xfId="0" applyNumberFormat="1" applyFont="1" applyBorder="1" applyAlignment="1" applyProtection="1">
      <alignment horizontal="center" vertical="center"/>
      <protection hidden="1"/>
    </xf>
    <xf numFmtId="0" fontId="27" fillId="0" borderId="63" xfId="0" applyFont="1" applyBorder="1" applyProtection="1">
      <protection hidden="1"/>
    </xf>
    <xf numFmtId="0" fontId="26" fillId="9" borderId="1" xfId="0" applyFont="1" applyFill="1" applyBorder="1" applyAlignment="1">
      <alignment wrapText="1"/>
    </xf>
    <xf numFmtId="0" fontId="5" fillId="8" borderId="2" xfId="0" applyFont="1" applyFill="1" applyBorder="1"/>
    <xf numFmtId="0" fontId="5" fillId="8" borderId="6" xfId="0" applyFont="1" applyFill="1" applyBorder="1"/>
    <xf numFmtId="0" fontId="8" fillId="9" borderId="27" xfId="0" applyFont="1" applyFill="1" applyBorder="1" applyAlignment="1">
      <alignment vertical="center"/>
    </xf>
    <xf numFmtId="0" fontId="8" fillId="9" borderId="29" xfId="0" applyFont="1" applyFill="1" applyBorder="1" applyAlignment="1">
      <alignment vertical="center"/>
    </xf>
    <xf numFmtId="0" fontId="8" fillId="9" borderId="60" xfId="0" applyFont="1" applyFill="1" applyBorder="1" applyAlignment="1">
      <alignment vertical="center"/>
    </xf>
    <xf numFmtId="0" fontId="8" fillId="9" borderId="62" xfId="0" applyFont="1" applyFill="1" applyBorder="1" applyAlignment="1">
      <alignment vertical="center"/>
    </xf>
    <xf numFmtId="0" fontId="42" fillId="5" borderId="7" xfId="0" applyFont="1" applyFill="1" applyBorder="1" applyAlignment="1">
      <alignment vertical="center"/>
    </xf>
    <xf numFmtId="0" fontId="8" fillId="9" borderId="108" xfId="0" applyFont="1" applyFill="1" applyBorder="1" applyAlignment="1">
      <alignment vertical="center"/>
    </xf>
    <xf numFmtId="0" fontId="5" fillId="8" borderId="84" xfId="0" applyFont="1" applyFill="1" applyBorder="1"/>
    <xf numFmtId="0" fontId="8" fillId="9" borderId="109" xfId="0" applyFont="1" applyFill="1" applyBorder="1" applyAlignment="1">
      <alignment vertical="center"/>
    </xf>
    <xf numFmtId="0" fontId="51" fillId="0" borderId="63" xfId="0" applyFont="1" applyBorder="1"/>
    <xf numFmtId="0" fontId="52" fillId="0" borderId="63" xfId="0" applyFont="1" applyBorder="1"/>
    <xf numFmtId="0" fontId="38" fillId="0" borderId="113" xfId="0" applyFont="1" applyBorder="1" applyAlignment="1">
      <alignment vertical="center"/>
    </xf>
    <xf numFmtId="0" fontId="38" fillId="0" borderId="100" xfId="0" applyFont="1" applyBorder="1" applyAlignment="1">
      <alignment vertical="center"/>
    </xf>
    <xf numFmtId="0" fontId="38" fillId="0" borderId="100" xfId="0" applyFont="1" applyBorder="1" applyAlignment="1">
      <alignment vertical="center" wrapText="1"/>
    </xf>
    <xf numFmtId="0" fontId="38" fillId="0" borderId="101" xfId="0" applyFont="1" applyBorder="1" applyAlignment="1">
      <alignment vertical="center" wrapText="1"/>
    </xf>
    <xf numFmtId="0" fontId="38" fillId="0" borderId="100" xfId="0" applyFont="1" applyBorder="1" applyAlignment="1">
      <alignment horizontal="left" vertical="center" wrapText="1"/>
    </xf>
    <xf numFmtId="0" fontId="38" fillId="0" borderId="101" xfId="0" applyFont="1" applyBorder="1" applyAlignment="1">
      <alignment horizontal="left" vertical="center" wrapText="1"/>
    </xf>
    <xf numFmtId="0" fontId="38" fillId="0" borderId="99" xfId="0" applyFont="1" applyBorder="1" applyAlignment="1">
      <alignment horizontal="left" vertical="center" wrapText="1"/>
    </xf>
    <xf numFmtId="0" fontId="54" fillId="11" borderId="110" xfId="0" applyFont="1" applyFill="1" applyBorder="1" applyAlignment="1">
      <alignment horizontal="center"/>
    </xf>
    <xf numFmtId="0" fontId="54" fillId="12" borderId="110" xfId="0" applyFont="1" applyFill="1" applyBorder="1" applyAlignment="1">
      <alignment horizontal="center"/>
    </xf>
    <xf numFmtId="0" fontId="0" fillId="0" borderId="0" xfId="0" applyAlignment="1">
      <alignment horizontal="center" vertical="center"/>
    </xf>
    <xf numFmtId="0" fontId="55" fillId="0" borderId="0" xfId="0" applyFont="1" applyAlignment="1">
      <alignment vertical="center"/>
    </xf>
    <xf numFmtId="0" fontId="0" fillId="0" borderId="63" xfId="0" applyBorder="1" applyAlignment="1">
      <alignment horizontal="center" vertical="center"/>
    </xf>
    <xf numFmtId="0" fontId="38" fillId="15" borderId="112" xfId="0" applyFont="1" applyFill="1" applyBorder="1" applyAlignment="1">
      <alignment horizontal="left" vertical="center" wrapText="1"/>
    </xf>
    <xf numFmtId="0" fontId="0" fillId="15" borderId="87" xfId="0" applyFill="1" applyBorder="1" applyAlignment="1">
      <alignment horizontal="center" vertical="center"/>
    </xf>
    <xf numFmtId="0" fontId="38" fillId="15" borderId="87" xfId="0" applyFont="1" applyFill="1" applyBorder="1" applyAlignment="1">
      <alignment horizontal="left" vertical="center" wrapText="1"/>
    </xf>
    <xf numFmtId="0" fontId="57" fillId="16" borderId="87" xfId="0" applyFont="1" applyFill="1" applyBorder="1" applyAlignment="1">
      <alignment horizontal="left" vertical="center" wrapText="1"/>
    </xf>
    <xf numFmtId="0" fontId="0" fillId="16" borderId="87" xfId="0" applyFill="1" applyBorder="1" applyAlignment="1">
      <alignment horizontal="center" vertical="center"/>
    </xf>
    <xf numFmtId="0" fontId="57" fillId="17" borderId="87" xfId="0" applyFont="1" applyFill="1" applyBorder="1" applyAlignment="1">
      <alignment vertical="center" wrapText="1"/>
    </xf>
    <xf numFmtId="0" fontId="0" fillId="17" borderId="87" xfId="0" applyFill="1" applyBorder="1" applyAlignment="1">
      <alignment horizontal="center" vertical="center"/>
    </xf>
    <xf numFmtId="0" fontId="57" fillId="18" borderId="87" xfId="0" applyFont="1" applyFill="1" applyBorder="1" applyAlignment="1">
      <alignment horizontal="left" vertical="center" wrapText="1"/>
    </xf>
    <xf numFmtId="0" fontId="0" fillId="18" borderId="87" xfId="0" applyFill="1" applyBorder="1" applyAlignment="1">
      <alignment horizontal="center" vertical="center"/>
    </xf>
    <xf numFmtId="0" fontId="57" fillId="19" borderId="87" xfId="0" applyFont="1" applyFill="1" applyBorder="1" applyAlignment="1">
      <alignment vertical="center" wrapText="1"/>
    </xf>
    <xf numFmtId="0" fontId="0" fillId="19" borderId="87" xfId="0" applyFill="1" applyBorder="1" applyAlignment="1">
      <alignment horizontal="center" vertical="center"/>
    </xf>
    <xf numFmtId="0" fontId="60" fillId="14" borderId="87" xfId="0" applyFont="1" applyFill="1" applyBorder="1" applyAlignment="1">
      <alignment horizontal="center" vertical="center"/>
    </xf>
    <xf numFmtId="0" fontId="61" fillId="14" borderId="87" xfId="0" applyFont="1" applyFill="1" applyBorder="1" applyAlignment="1">
      <alignment horizontal="center" vertical="center"/>
    </xf>
    <xf numFmtId="0" fontId="56" fillId="20" borderId="87" xfId="0" applyFont="1" applyFill="1" applyBorder="1" applyAlignment="1">
      <alignment vertical="center"/>
    </xf>
    <xf numFmtId="0" fontId="0" fillId="18" borderId="87" xfId="0" applyFill="1" applyBorder="1" applyAlignment="1">
      <alignment horizontal="left" vertical="center"/>
    </xf>
    <xf numFmtId="0" fontId="56" fillId="0" borderId="63" xfId="0" applyFont="1" applyBorder="1"/>
    <xf numFmtId="0" fontId="56" fillId="10" borderId="110" xfId="0" applyFont="1" applyFill="1" applyBorder="1" applyAlignment="1">
      <alignment horizontal="center"/>
    </xf>
    <xf numFmtId="0" fontId="56" fillId="20" borderId="87" xfId="0" applyFont="1" applyFill="1" applyBorder="1" applyAlignment="1">
      <alignment horizontal="center" vertical="center"/>
    </xf>
    <xf numFmtId="0" fontId="3" fillId="8" borderId="18" xfId="0" applyFont="1" applyFill="1" applyBorder="1" applyAlignment="1" applyProtection="1">
      <alignment horizontal="center" vertical="center"/>
      <protection hidden="1"/>
    </xf>
    <xf numFmtId="0" fontId="3" fillId="8" borderId="133" xfId="0" applyFont="1" applyFill="1" applyBorder="1" applyAlignment="1" applyProtection="1">
      <alignment horizontal="center" vertical="center"/>
      <protection hidden="1"/>
    </xf>
    <xf numFmtId="3" fontId="33" fillId="0" borderId="87" xfId="0" applyNumberFormat="1" applyFont="1" applyBorder="1" applyAlignment="1" applyProtection="1">
      <alignment horizontal="center" vertical="center"/>
      <protection locked="0"/>
    </xf>
    <xf numFmtId="0" fontId="3" fillId="0" borderId="71"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122"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0" fontId="3" fillId="0" borderId="64" xfId="0" applyFont="1" applyBorder="1" applyAlignment="1" applyProtection="1">
      <alignment horizontal="center" vertical="center"/>
      <protection locked="0"/>
    </xf>
    <xf numFmtId="0" fontId="3" fillId="0" borderId="124" xfId="0" applyFont="1" applyBorder="1" applyAlignment="1" applyProtection="1">
      <alignment horizontal="center" vertical="center"/>
      <protection locked="0"/>
    </xf>
    <xf numFmtId="0" fontId="3" fillId="0" borderId="104" xfId="0" applyFont="1" applyBorder="1" applyAlignment="1" applyProtection="1">
      <alignment horizontal="center" vertical="center"/>
      <protection locked="0"/>
    </xf>
    <xf numFmtId="0" fontId="3" fillId="0" borderId="66" xfId="0" applyFont="1" applyBorder="1" applyAlignment="1" applyProtection="1">
      <alignment horizontal="center" vertical="center"/>
      <protection locked="0"/>
    </xf>
    <xf numFmtId="0" fontId="3" fillId="0" borderId="126" xfId="0" applyFont="1" applyBorder="1" applyAlignment="1" applyProtection="1">
      <alignment horizontal="center" vertical="center"/>
      <protection locked="0"/>
    </xf>
    <xf numFmtId="0" fontId="3" fillId="0" borderId="23" xfId="0" applyFont="1" applyBorder="1" applyAlignment="1" applyProtection="1">
      <alignment horizontal="center" vertical="center"/>
      <protection locked="0"/>
    </xf>
    <xf numFmtId="0" fontId="3" fillId="0" borderId="67" xfId="0" applyFont="1" applyBorder="1" applyAlignment="1" applyProtection="1">
      <alignment horizontal="center" vertical="center"/>
      <protection locked="0"/>
    </xf>
    <xf numFmtId="0" fontId="3" fillId="0" borderId="128" xfId="0" applyFont="1" applyBorder="1" applyAlignment="1" applyProtection="1">
      <alignment horizontal="center" vertical="center"/>
      <protection locked="0"/>
    </xf>
    <xf numFmtId="0" fontId="3" fillId="0" borderId="18" xfId="0" applyFont="1" applyBorder="1" applyAlignment="1" applyProtection="1">
      <alignment horizontal="center" vertical="center"/>
      <protection locked="0"/>
    </xf>
    <xf numFmtId="0" fontId="3" fillId="0" borderId="98" xfId="0" applyFont="1" applyBorder="1" applyAlignment="1" applyProtection="1">
      <alignment horizontal="center" vertical="center"/>
      <protection locked="0"/>
    </xf>
    <xf numFmtId="0" fontId="3" fillId="0" borderId="132" xfId="0" applyFont="1" applyBorder="1" applyAlignment="1" applyProtection="1">
      <alignment horizontal="center" vertical="center"/>
      <protection locked="0"/>
    </xf>
    <xf numFmtId="0" fontId="3" fillId="0" borderId="135" xfId="0" applyFont="1" applyBorder="1" applyAlignment="1" applyProtection="1">
      <alignment horizontal="center" vertical="center"/>
      <protection locked="0"/>
    </xf>
    <xf numFmtId="0" fontId="3" fillId="0" borderId="133" xfId="0" applyFont="1" applyBorder="1" applyAlignment="1" applyProtection="1">
      <alignment horizontal="center" vertical="center"/>
      <protection locked="0"/>
    </xf>
    <xf numFmtId="0" fontId="3" fillId="0" borderId="136" xfId="0" applyFont="1" applyBorder="1" applyAlignment="1" applyProtection="1">
      <alignment horizontal="center" vertical="center"/>
      <protection locked="0"/>
    </xf>
    <xf numFmtId="0" fontId="11" fillId="0" borderId="0" xfId="0" applyFont="1" applyProtection="1">
      <protection locked="0"/>
    </xf>
    <xf numFmtId="0" fontId="11" fillId="0" borderId="19" xfId="0" applyFont="1" applyBorder="1" applyProtection="1">
      <protection locked="0"/>
    </xf>
    <xf numFmtId="0" fontId="11" fillId="0" borderId="21" xfId="0" applyFont="1" applyBorder="1" applyProtection="1">
      <protection locked="0"/>
    </xf>
    <xf numFmtId="0" fontId="11" fillId="0" borderId="24" xfId="0" applyFont="1" applyBorder="1" applyProtection="1">
      <protection locked="0"/>
    </xf>
    <xf numFmtId="0" fontId="11" fillId="0" borderId="63" xfId="0" applyFont="1" applyBorder="1" applyProtection="1">
      <protection locked="0"/>
    </xf>
    <xf numFmtId="0" fontId="9" fillId="0" borderId="60" xfId="0" applyFont="1" applyBorder="1" applyProtection="1">
      <protection locked="0"/>
    </xf>
    <xf numFmtId="0" fontId="9" fillId="0" borderId="0" xfId="0" applyFont="1" applyProtection="1">
      <protection locked="0"/>
    </xf>
    <xf numFmtId="0" fontId="9" fillId="0" borderId="40" xfId="0" applyFont="1" applyBorder="1" applyProtection="1">
      <protection locked="0"/>
    </xf>
    <xf numFmtId="0" fontId="9" fillId="0" borderId="63" xfId="0" applyFont="1" applyBorder="1" applyProtection="1">
      <protection locked="0"/>
    </xf>
    <xf numFmtId="0" fontId="9" fillId="0" borderId="39" xfId="0" applyFont="1" applyBorder="1" applyProtection="1">
      <protection locked="0"/>
    </xf>
    <xf numFmtId="0" fontId="11" fillId="0" borderId="40" xfId="0" applyFont="1" applyBorder="1" applyProtection="1">
      <protection locked="0"/>
    </xf>
    <xf numFmtId="0" fontId="9" fillId="0" borderId="60" xfId="0" applyFont="1" applyBorder="1" applyAlignment="1" applyProtection="1">
      <alignment horizontal="center"/>
      <protection locked="0"/>
    </xf>
    <xf numFmtId="0" fontId="9" fillId="0" borderId="40" xfId="0" applyFont="1" applyBorder="1" applyAlignment="1" applyProtection="1">
      <alignment horizontal="center"/>
      <protection locked="0"/>
    </xf>
    <xf numFmtId="0" fontId="9" fillId="0" borderId="39" xfId="0" applyFont="1" applyBorder="1" applyAlignment="1" applyProtection="1">
      <alignment horizontal="center"/>
      <protection locked="0"/>
    </xf>
    <xf numFmtId="0" fontId="7" fillId="0" borderId="37" xfId="0" applyFont="1" applyBorder="1" applyAlignment="1" applyProtection="1">
      <alignment horizontal="center" vertical="center"/>
      <protection locked="0"/>
    </xf>
    <xf numFmtId="0" fontId="11" fillId="0" borderId="39" xfId="0" applyFont="1" applyBorder="1" applyProtection="1">
      <protection locked="0"/>
    </xf>
    <xf numFmtId="0" fontId="11" fillId="0" borderId="60" xfId="0" applyFont="1" applyBorder="1" applyProtection="1">
      <protection locked="0"/>
    </xf>
    <xf numFmtId="0" fontId="7" fillId="0" borderId="60" xfId="0" applyFont="1" applyBorder="1" applyAlignment="1" applyProtection="1">
      <alignment horizontal="center"/>
      <protection locked="0"/>
    </xf>
    <xf numFmtId="0" fontId="9" fillId="0" borderId="40" xfId="0" applyFont="1" applyBorder="1" applyAlignment="1" applyProtection="1">
      <alignment horizontal="left"/>
      <protection locked="0"/>
    </xf>
    <xf numFmtId="0" fontId="9" fillId="0" borderId="63" xfId="0" applyFont="1" applyBorder="1" applyAlignment="1" applyProtection="1">
      <alignment horizontal="left"/>
      <protection locked="0"/>
    </xf>
    <xf numFmtId="0" fontId="9" fillId="0" borderId="0" xfId="0" applyFont="1" applyAlignment="1" applyProtection="1">
      <alignment horizontal="left"/>
      <protection locked="0"/>
    </xf>
    <xf numFmtId="0" fontId="9" fillId="0" borderId="39" xfId="0" applyFont="1" applyBorder="1" applyAlignment="1" applyProtection="1">
      <alignment horizontal="left"/>
      <protection locked="0"/>
    </xf>
    <xf numFmtId="0" fontId="7" fillId="0" borderId="40" xfId="0" applyFont="1" applyBorder="1" applyAlignment="1" applyProtection="1">
      <alignment horizontal="center"/>
      <protection locked="0"/>
    </xf>
    <xf numFmtId="0" fontId="7" fillId="0" borderId="63" xfId="0" applyFont="1" applyBorder="1" applyAlignment="1" applyProtection="1">
      <alignment horizontal="center"/>
      <protection locked="0"/>
    </xf>
    <xf numFmtId="0" fontId="7" fillId="0" borderId="39" xfId="0" applyFont="1" applyBorder="1" applyAlignment="1" applyProtection="1">
      <alignment horizontal="center"/>
      <protection locked="0"/>
    </xf>
    <xf numFmtId="0" fontId="9" fillId="0" borderId="60" xfId="0" applyFont="1" applyBorder="1" applyAlignment="1" applyProtection="1">
      <alignment horizontal="left"/>
      <protection locked="0"/>
    </xf>
    <xf numFmtId="0" fontId="34" fillId="0" borderId="63" xfId="0" applyFont="1" applyBorder="1" applyAlignment="1" applyProtection="1">
      <alignment horizontal="left"/>
      <protection locked="0"/>
    </xf>
    <xf numFmtId="0" fontId="9" fillId="0" borderId="40" xfId="0" applyFont="1" applyBorder="1" applyAlignment="1" applyProtection="1">
      <alignment horizontal="right"/>
      <protection locked="0"/>
    </xf>
    <xf numFmtId="0" fontId="9" fillId="0" borderId="63" xfId="0" applyFont="1" applyBorder="1" applyAlignment="1" applyProtection="1">
      <alignment horizontal="right"/>
      <protection locked="0"/>
    </xf>
    <xf numFmtId="0" fontId="9" fillId="0" borderId="61" xfId="0" applyFont="1" applyBorder="1" applyProtection="1">
      <protection locked="0"/>
    </xf>
    <xf numFmtId="0" fontId="5" fillId="0" borderId="61" xfId="0" applyFont="1" applyBorder="1" applyProtection="1">
      <protection locked="0"/>
    </xf>
    <xf numFmtId="0" fontId="34" fillId="0" borderId="0" xfId="0" applyFont="1" applyAlignment="1" applyProtection="1">
      <alignment horizontal="left"/>
      <protection locked="0"/>
    </xf>
    <xf numFmtId="0" fontId="9" fillId="0" borderId="60" xfId="0" applyFont="1" applyBorder="1" applyAlignment="1" applyProtection="1">
      <alignment wrapText="1"/>
      <protection locked="0"/>
    </xf>
    <xf numFmtId="0" fontId="9" fillId="0" borderId="40" xfId="0" applyFont="1" applyBorder="1" applyAlignment="1" applyProtection="1">
      <alignment wrapText="1"/>
      <protection locked="0"/>
    </xf>
    <xf numFmtId="0" fontId="9" fillId="0" borderId="63" xfId="0" applyFont="1" applyBorder="1" applyAlignment="1" applyProtection="1">
      <alignment wrapText="1"/>
      <protection locked="0"/>
    </xf>
    <xf numFmtId="0" fontId="9" fillId="0" borderId="39" xfId="0" applyFont="1" applyBorder="1" applyAlignment="1" applyProtection="1">
      <alignment wrapText="1"/>
      <protection locked="0"/>
    </xf>
    <xf numFmtId="0" fontId="34" fillId="0" borderId="0" xfId="0" applyFont="1" applyProtection="1">
      <protection locked="0"/>
    </xf>
    <xf numFmtId="0" fontId="7" fillId="0" borderId="60" xfId="0" applyFont="1" applyBorder="1" applyAlignment="1" applyProtection="1">
      <alignment horizontal="center" vertical="center"/>
      <protection locked="0"/>
    </xf>
    <xf numFmtId="0" fontId="7" fillId="0" borderId="40" xfId="0" applyFont="1" applyBorder="1" applyAlignment="1" applyProtection="1">
      <alignment horizontal="center" vertical="center"/>
      <protection locked="0"/>
    </xf>
    <xf numFmtId="0" fontId="7" fillId="0" borderId="39" xfId="0" applyFont="1" applyBorder="1" applyAlignment="1" applyProtection="1">
      <alignment horizontal="center" vertical="center"/>
      <protection locked="0"/>
    </xf>
    <xf numFmtId="0" fontId="11" fillId="0" borderId="8" xfId="0" applyFont="1" applyBorder="1" applyProtection="1">
      <protection locked="0"/>
    </xf>
    <xf numFmtId="4" fontId="21" fillId="0" borderId="60" xfId="0" applyNumberFormat="1" applyFont="1" applyBorder="1" applyAlignment="1" applyProtection="1">
      <alignment horizontal="left" wrapText="1"/>
      <protection locked="0"/>
    </xf>
    <xf numFmtId="3" fontId="34" fillId="0" borderId="87" xfId="0" applyNumberFormat="1" applyFont="1" applyBorder="1" applyAlignment="1" applyProtection="1">
      <alignment vertical="center"/>
      <protection locked="0"/>
    </xf>
    <xf numFmtId="0" fontId="9" fillId="0" borderId="8" xfId="0" applyFont="1" applyBorder="1" applyProtection="1">
      <protection locked="0"/>
    </xf>
    <xf numFmtId="0" fontId="9" fillId="0" borderId="94" xfId="0" applyFont="1" applyBorder="1" applyProtection="1">
      <protection locked="0"/>
    </xf>
    <xf numFmtId="4" fontId="22" fillId="0" borderId="60" xfId="0" applyNumberFormat="1" applyFont="1" applyBorder="1" applyAlignment="1" applyProtection="1">
      <alignment horizontal="left" wrapText="1"/>
      <protection locked="0"/>
    </xf>
    <xf numFmtId="4" fontId="23" fillId="0" borderId="60" xfId="0" applyNumberFormat="1" applyFont="1" applyBorder="1" applyAlignment="1" applyProtection="1">
      <alignment horizontal="center" wrapText="1"/>
      <protection locked="0"/>
    </xf>
    <xf numFmtId="0" fontId="7" fillId="0" borderId="60" xfId="0" applyFont="1" applyBorder="1" applyProtection="1">
      <protection locked="0"/>
    </xf>
    <xf numFmtId="0" fontId="11" fillId="0" borderId="62" xfId="0" applyFont="1" applyBorder="1" applyProtection="1">
      <protection locked="0"/>
    </xf>
    <xf numFmtId="0" fontId="10" fillId="0" borderId="40" xfId="0" applyFont="1" applyBorder="1" applyProtection="1">
      <protection locked="0"/>
    </xf>
    <xf numFmtId="0" fontId="10" fillId="0" borderId="63" xfId="0" applyFont="1" applyBorder="1" applyProtection="1">
      <protection locked="0"/>
    </xf>
    <xf numFmtId="0" fontId="11" fillId="0" borderId="54" xfId="0" applyFont="1" applyBorder="1" applyProtection="1">
      <protection locked="0"/>
    </xf>
    <xf numFmtId="0" fontId="11" fillId="0" borderId="42" xfId="0" applyFont="1" applyBorder="1" applyProtection="1">
      <protection locked="0"/>
    </xf>
    <xf numFmtId="0" fontId="11" fillId="0" borderId="65" xfId="0" applyFont="1" applyBorder="1" applyProtection="1">
      <protection locked="0"/>
    </xf>
    <xf numFmtId="0" fontId="11" fillId="0" borderId="43" xfId="0" applyFont="1" applyBorder="1" applyProtection="1">
      <protection locked="0"/>
    </xf>
    <xf numFmtId="0" fontId="11" fillId="0" borderId="41" xfId="0" applyFont="1" applyBorder="1" applyProtection="1">
      <protection locked="0"/>
    </xf>
    <xf numFmtId="3" fontId="62" fillId="0" borderId="87" xfId="0" applyNumberFormat="1" applyFont="1" applyBorder="1" applyAlignment="1" applyProtection="1">
      <alignment horizontal="center" vertical="center" wrapText="1"/>
      <protection hidden="1"/>
    </xf>
    <xf numFmtId="0" fontId="63" fillId="0" borderId="40" xfId="0" applyFont="1" applyBorder="1" applyProtection="1">
      <protection hidden="1"/>
    </xf>
    <xf numFmtId="0" fontId="64" fillId="0" borderId="62" xfId="0" applyFont="1" applyBorder="1" applyProtection="1">
      <protection hidden="1"/>
    </xf>
    <xf numFmtId="0" fontId="63" fillId="0" borderId="40" xfId="0" applyFont="1" applyBorder="1" applyProtection="1">
      <protection locked="0"/>
    </xf>
    <xf numFmtId="0" fontId="64" fillId="0" borderId="40" xfId="0" applyFont="1" applyBorder="1" applyProtection="1">
      <protection locked="0"/>
    </xf>
    <xf numFmtId="164" fontId="16" fillId="5" borderId="37" xfId="0" applyNumberFormat="1" applyFont="1" applyFill="1" applyBorder="1" applyAlignment="1">
      <alignment horizontal="center" vertical="center"/>
    </xf>
    <xf numFmtId="1" fontId="28" fillId="5" borderId="37" xfId="0" applyNumberFormat="1" applyFont="1" applyFill="1" applyBorder="1" applyAlignment="1">
      <alignment horizontal="center" vertical="center"/>
    </xf>
    <xf numFmtId="164" fontId="28" fillId="5" borderId="37" xfId="0" applyNumberFormat="1" applyFont="1" applyFill="1" applyBorder="1" applyAlignment="1">
      <alignment horizontal="center" vertical="center"/>
    </xf>
    <xf numFmtId="164" fontId="28" fillId="5" borderId="37" xfId="0" applyNumberFormat="1" applyFont="1" applyFill="1" applyBorder="1" applyAlignment="1">
      <alignment vertical="center"/>
    </xf>
    <xf numFmtId="1" fontId="28" fillId="5" borderId="37" xfId="0" applyNumberFormat="1" applyFont="1" applyFill="1" applyBorder="1" applyAlignment="1">
      <alignment vertical="center"/>
    </xf>
    <xf numFmtId="164" fontId="28" fillId="8" borderId="57" xfId="0" applyNumberFormat="1" applyFont="1" applyFill="1" applyBorder="1" applyAlignment="1" applyProtection="1">
      <alignment horizontal="center" vertical="center"/>
      <protection hidden="1"/>
    </xf>
    <xf numFmtId="164" fontId="28" fillId="8" borderId="35" xfId="0" applyNumberFormat="1" applyFont="1" applyFill="1" applyBorder="1" applyAlignment="1" applyProtection="1">
      <alignment horizontal="center" vertical="center"/>
      <protection hidden="1"/>
    </xf>
    <xf numFmtId="164" fontId="28" fillId="8" borderId="70" xfId="0" applyNumberFormat="1" applyFont="1" applyFill="1" applyBorder="1" applyAlignment="1" applyProtection="1">
      <alignment horizontal="center" vertical="center"/>
      <protection hidden="1"/>
    </xf>
    <xf numFmtId="164" fontId="28" fillId="8" borderId="68" xfId="0" applyNumberFormat="1" applyFont="1" applyFill="1" applyBorder="1" applyAlignment="1" applyProtection="1">
      <alignment horizontal="center" vertical="center"/>
      <protection hidden="1"/>
    </xf>
    <xf numFmtId="164" fontId="28" fillId="8" borderId="69" xfId="0" applyNumberFormat="1" applyFont="1" applyFill="1" applyBorder="1" applyAlignment="1" applyProtection="1">
      <alignment horizontal="center" vertical="center"/>
      <protection hidden="1"/>
    </xf>
    <xf numFmtId="164" fontId="28" fillId="8" borderId="134" xfId="0" applyNumberFormat="1" applyFont="1" applyFill="1" applyBorder="1" applyAlignment="1" applyProtection="1">
      <alignment horizontal="center" vertical="center"/>
      <protection hidden="1"/>
    </xf>
    <xf numFmtId="3" fontId="65" fillId="0" borderId="87" xfId="0" applyNumberFormat="1" applyFont="1" applyBorder="1" applyAlignment="1" applyProtection="1">
      <alignment horizontal="center" vertical="center"/>
      <protection hidden="1"/>
    </xf>
    <xf numFmtId="0" fontId="61" fillId="20" borderId="87" xfId="0" applyFont="1" applyFill="1" applyBorder="1" applyAlignment="1">
      <alignment horizontal="center" vertical="center"/>
    </xf>
    <xf numFmtId="0" fontId="60" fillId="20" borderId="137" xfId="0" applyFont="1" applyFill="1" applyBorder="1" applyAlignment="1">
      <alignment horizontal="center" vertical="center"/>
    </xf>
    <xf numFmtId="0" fontId="61" fillId="20" borderId="137" xfId="0" applyFont="1" applyFill="1" applyBorder="1" applyAlignment="1">
      <alignment horizontal="center" vertical="center"/>
    </xf>
    <xf numFmtId="0" fontId="38" fillId="19" borderId="87" xfId="0" applyFont="1" applyFill="1" applyBorder="1" applyAlignment="1">
      <alignment horizontal="left" vertical="center" wrapText="1"/>
    </xf>
    <xf numFmtId="0" fontId="38" fillId="19" borderId="87" xfId="0" applyFont="1" applyFill="1" applyBorder="1" applyAlignment="1">
      <alignment horizontal="justify" vertical="center" wrapText="1"/>
    </xf>
    <xf numFmtId="0" fontId="38" fillId="19" borderId="87" xfId="0" applyFont="1" applyFill="1" applyBorder="1" applyAlignment="1">
      <alignment vertical="center" wrapText="1"/>
    </xf>
    <xf numFmtId="0" fontId="38" fillId="19" borderId="87" xfId="0" applyFont="1" applyFill="1" applyBorder="1" applyAlignment="1">
      <alignment horizontal="left" vertical="center" wrapText="1" indent="1"/>
    </xf>
    <xf numFmtId="0" fontId="53" fillId="19" borderId="87" xfId="0" applyFont="1" applyFill="1" applyBorder="1" applyAlignment="1">
      <alignment horizontal="center" vertical="top"/>
    </xf>
    <xf numFmtId="164" fontId="28" fillId="8" borderId="20" xfId="0" applyNumberFormat="1" applyFont="1" applyFill="1" applyBorder="1" applyAlignment="1" applyProtection="1">
      <alignment horizontal="center" vertical="center"/>
      <protection hidden="1"/>
    </xf>
    <xf numFmtId="0" fontId="7" fillId="0" borderId="0" xfId="0" applyFont="1" applyAlignment="1" applyProtection="1">
      <alignment horizontal="center"/>
      <protection locked="0"/>
    </xf>
    <xf numFmtId="0" fontId="0" fillId="0" borderId="0" xfId="0" applyProtection="1">
      <protection locked="0"/>
    </xf>
    <xf numFmtId="0" fontId="7" fillId="0" borderId="0" xfId="0" applyFont="1" applyAlignment="1" applyProtection="1">
      <alignment horizontal="center" vertical="center"/>
      <protection locked="0"/>
    </xf>
    <xf numFmtId="0" fontId="7" fillId="0" borderId="63" xfId="0" applyFont="1" applyBorder="1" applyAlignment="1" applyProtection="1">
      <alignment horizontal="center" vertical="center"/>
      <protection locked="0"/>
    </xf>
    <xf numFmtId="0" fontId="9" fillId="0" borderId="0" xfId="0" applyFont="1" applyAlignment="1" applyProtection="1">
      <alignment horizontal="center"/>
      <protection locked="0"/>
    </xf>
    <xf numFmtId="0" fontId="9" fillId="0" borderId="63" xfId="0" applyFont="1" applyBorder="1" applyAlignment="1" applyProtection="1">
      <alignment horizontal="center"/>
      <protection locked="0"/>
    </xf>
    <xf numFmtId="0" fontId="34" fillId="0" borderId="63" xfId="0" applyFont="1" applyBorder="1" applyAlignment="1" applyProtection="1">
      <alignment horizontal="center"/>
      <protection locked="0"/>
    </xf>
    <xf numFmtId="0" fontId="9" fillId="0" borderId="0" xfId="0" applyFont="1" applyAlignment="1" applyProtection="1">
      <alignment wrapText="1"/>
      <protection locked="0"/>
    </xf>
    <xf numFmtId="0" fontId="33" fillId="0" borderId="87" xfId="0" applyFont="1" applyBorder="1" applyAlignment="1" applyProtection="1">
      <alignment horizontal="center" vertical="center"/>
      <protection locked="0"/>
    </xf>
    <xf numFmtId="0" fontId="34" fillId="0" borderId="63" xfId="0" applyFont="1" applyBorder="1" applyAlignment="1" applyProtection="1">
      <alignment horizontal="center" vertical="top"/>
      <protection locked="0"/>
    </xf>
    <xf numFmtId="0" fontId="10" fillId="0" borderId="0" xfId="0" applyFont="1" applyAlignment="1" applyProtection="1">
      <alignment horizontal="left" vertical="center"/>
      <protection locked="0"/>
    </xf>
    <xf numFmtId="0" fontId="10" fillId="0" borderId="0" xfId="0" applyFont="1" applyAlignment="1" applyProtection="1">
      <alignment horizontal="center" vertical="center"/>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1" fillId="0" borderId="0" xfId="0" applyFont="1" applyAlignment="1" applyProtection="1">
      <alignment horizontal="left" vertical="center"/>
      <protection locked="0"/>
    </xf>
    <xf numFmtId="0" fontId="12" fillId="0" borderId="0" xfId="0" applyFont="1" applyAlignment="1" applyProtection="1">
      <alignment horizontal="right" vertical="center"/>
      <protection locked="0"/>
    </xf>
    <xf numFmtId="0" fontId="2" fillId="0" borderId="63" xfId="0" applyFont="1" applyBorder="1" applyAlignment="1" applyProtection="1">
      <alignment vertical="center"/>
      <protection locked="0"/>
    </xf>
    <xf numFmtId="0" fontId="2" fillId="0" borderId="63" xfId="0" applyFont="1" applyBorder="1" applyAlignment="1" applyProtection="1">
      <alignment horizontal="center" vertical="center"/>
      <protection locked="0"/>
    </xf>
    <xf numFmtId="0" fontId="11" fillId="0" borderId="0" xfId="0" applyFont="1" applyAlignment="1" applyProtection="1">
      <alignment horizontal="left" vertical="center" wrapText="1"/>
      <protection locked="0"/>
    </xf>
    <xf numFmtId="0" fontId="15" fillId="0" borderId="0" xfId="0" applyFont="1" applyAlignment="1" applyProtection="1">
      <alignment horizontal="center" vertical="center"/>
      <protection locked="0"/>
    </xf>
    <xf numFmtId="0" fontId="10" fillId="0" borderId="0" xfId="0" applyFont="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24" fillId="0" borderId="54" xfId="0" applyFont="1" applyBorder="1" applyAlignment="1" applyProtection="1">
      <alignment horizontal="left" vertical="center"/>
      <protection locked="0"/>
    </xf>
    <xf numFmtId="0" fontId="24" fillId="0" borderId="38" xfId="0" applyFont="1" applyBorder="1" applyAlignment="1" applyProtection="1">
      <alignment horizontal="left" vertical="center"/>
      <protection locked="0"/>
    </xf>
    <xf numFmtId="0" fontId="18" fillId="0" borderId="0" xfId="0" applyFont="1" applyAlignment="1" applyProtection="1">
      <alignment horizontal="center" vertical="center"/>
      <protection locked="0"/>
    </xf>
    <xf numFmtId="0" fontId="49" fillId="0" borderId="110" xfId="0" applyFont="1" applyBorder="1" applyAlignment="1" applyProtection="1">
      <alignment horizontal="center" vertical="center" wrapText="1"/>
      <protection locked="0"/>
    </xf>
    <xf numFmtId="0" fontId="48" fillId="0" borderId="93" xfId="0" applyFont="1" applyBorder="1" applyAlignment="1" applyProtection="1">
      <alignment horizontal="center" vertical="center" wrapText="1"/>
      <protection locked="0"/>
    </xf>
    <xf numFmtId="0" fontId="48" fillId="0" borderId="110" xfId="0" applyFont="1" applyBorder="1" applyAlignment="1" applyProtection="1">
      <alignment horizontal="center" vertical="center" wrapText="1"/>
      <protection locked="0"/>
    </xf>
    <xf numFmtId="0" fontId="48" fillId="0" borderId="119" xfId="0" applyFont="1" applyBorder="1" applyAlignment="1" applyProtection="1">
      <alignment horizontal="center" vertical="center" wrapText="1"/>
      <protection locked="0"/>
    </xf>
    <xf numFmtId="0" fontId="31" fillId="5" borderId="121" xfId="0" applyFont="1" applyFill="1" applyBorder="1" applyAlignment="1" applyProtection="1">
      <alignment horizontal="center" vertical="center"/>
      <protection locked="0"/>
    </xf>
    <xf numFmtId="0" fontId="3" fillId="8" borderId="99" xfId="0" applyFont="1" applyFill="1" applyBorder="1" applyAlignment="1" applyProtection="1">
      <alignment horizontal="center" vertical="center"/>
      <protection locked="0"/>
    </xf>
    <xf numFmtId="0" fontId="3" fillId="8" borderId="138" xfId="0" applyFont="1" applyFill="1" applyBorder="1" applyAlignment="1" applyProtection="1">
      <alignment horizontal="center" vertical="center"/>
      <protection locked="0"/>
    </xf>
    <xf numFmtId="0" fontId="31" fillId="5" borderId="123" xfId="0" applyFont="1" applyFill="1" applyBorder="1" applyAlignment="1" applyProtection="1">
      <alignment horizontal="center" vertical="center"/>
      <protection locked="0"/>
    </xf>
    <xf numFmtId="0" fontId="3" fillId="8" borderId="100" xfId="0" applyFont="1" applyFill="1" applyBorder="1" applyAlignment="1" applyProtection="1">
      <alignment horizontal="center" vertical="center"/>
      <protection locked="0"/>
    </xf>
    <xf numFmtId="0" fontId="3" fillId="8" borderId="139" xfId="0" applyFont="1" applyFill="1" applyBorder="1" applyAlignment="1" applyProtection="1">
      <alignment horizontal="center" vertical="center"/>
      <protection locked="0"/>
    </xf>
    <xf numFmtId="0" fontId="31" fillId="5" borderId="125" xfId="0" applyFont="1" applyFill="1" applyBorder="1" applyAlignment="1" applyProtection="1">
      <alignment horizontal="center" vertical="center"/>
      <protection locked="0"/>
    </xf>
    <xf numFmtId="0" fontId="31" fillId="5" borderId="127" xfId="0" applyFont="1" applyFill="1" applyBorder="1" applyAlignment="1" applyProtection="1">
      <alignment horizontal="center" vertical="center"/>
      <protection locked="0"/>
    </xf>
    <xf numFmtId="0" fontId="3" fillId="8" borderId="101" xfId="0" applyFont="1" applyFill="1" applyBorder="1" applyAlignment="1" applyProtection="1">
      <alignment horizontal="center" vertical="center"/>
      <protection locked="0"/>
    </xf>
    <xf numFmtId="0" fontId="3" fillId="8" borderId="140" xfId="0" applyFont="1" applyFill="1" applyBorder="1" applyAlignment="1" applyProtection="1">
      <alignment horizontal="center" vertical="center"/>
      <protection locked="0"/>
    </xf>
    <xf numFmtId="0" fontId="12" fillId="6" borderId="80" xfId="0" applyFont="1" applyFill="1" applyBorder="1" applyAlignment="1" applyProtection="1">
      <alignment horizontal="left" vertical="center"/>
      <protection locked="0"/>
    </xf>
    <xf numFmtId="0" fontId="12" fillId="6" borderId="65" xfId="0" applyFont="1" applyFill="1" applyBorder="1" applyAlignment="1" applyProtection="1">
      <alignment horizontal="left" vertical="center"/>
      <protection locked="0"/>
    </xf>
    <xf numFmtId="0" fontId="12" fillId="6" borderId="63" xfId="0" applyFont="1" applyFill="1" applyBorder="1" applyAlignment="1" applyProtection="1">
      <alignment horizontal="left" vertical="center"/>
      <protection locked="0"/>
    </xf>
    <xf numFmtId="0" fontId="12" fillId="6" borderId="4" xfId="0" applyFont="1" applyFill="1" applyBorder="1" applyAlignment="1" applyProtection="1">
      <alignment horizontal="left" vertical="center"/>
      <protection locked="0"/>
    </xf>
    <xf numFmtId="0" fontId="12" fillId="6" borderId="107" xfId="0" applyFont="1" applyFill="1" applyBorder="1" applyAlignment="1" applyProtection="1">
      <alignment horizontal="left" vertical="center"/>
      <protection locked="0"/>
    </xf>
    <xf numFmtId="0" fontId="1" fillId="8" borderId="99" xfId="0" applyFont="1" applyFill="1" applyBorder="1" applyAlignment="1" applyProtection="1">
      <alignment horizontal="center" vertical="center"/>
      <protection locked="0"/>
    </xf>
    <xf numFmtId="0" fontId="1" fillId="8" borderId="100" xfId="0" applyFont="1" applyFill="1" applyBorder="1" applyAlignment="1" applyProtection="1">
      <alignment horizontal="center" vertical="center"/>
      <protection locked="0"/>
    </xf>
    <xf numFmtId="0" fontId="31" fillId="5" borderId="129" xfId="0" applyFont="1" applyFill="1" applyBorder="1" applyAlignment="1" applyProtection="1">
      <alignment horizontal="center" vertical="center"/>
      <protection locked="0"/>
    </xf>
    <xf numFmtId="0" fontId="39" fillId="0" borderId="63" xfId="0" applyFont="1" applyBorder="1" applyAlignment="1" applyProtection="1">
      <alignment vertical="center" wrapText="1"/>
      <protection locked="0"/>
    </xf>
    <xf numFmtId="0" fontId="27" fillId="0" borderId="63" xfId="0" applyFont="1" applyBorder="1" applyAlignment="1" applyProtection="1">
      <alignment horizontal="center"/>
      <protection locked="0"/>
    </xf>
    <xf numFmtId="0" fontId="63" fillId="0" borderId="62" xfId="0" applyFont="1" applyBorder="1" applyProtection="1">
      <protection hidden="1"/>
    </xf>
    <xf numFmtId="0" fontId="45" fillId="0" borderId="63" xfId="0" applyFont="1" applyBorder="1" applyAlignment="1" applyProtection="1">
      <alignment horizontal="center"/>
      <protection locked="0"/>
    </xf>
    <xf numFmtId="0" fontId="7" fillId="0" borderId="0" xfId="0" applyFont="1" applyAlignment="1" applyProtection="1">
      <alignment horizontal="right"/>
      <protection locked="0"/>
    </xf>
    <xf numFmtId="0" fontId="7" fillId="0" borderId="0" xfId="0" applyFont="1" applyAlignment="1" applyProtection="1">
      <alignment horizontal="center" vertical="center"/>
      <protection locked="0"/>
    </xf>
    <xf numFmtId="0" fontId="0" fillId="0" borderId="0" xfId="0" applyProtection="1">
      <protection locked="0"/>
    </xf>
    <xf numFmtId="0" fontId="34" fillId="0" borderId="63" xfId="0" applyFont="1" applyBorder="1" applyAlignment="1" applyProtection="1">
      <alignment horizontal="center"/>
      <protection locked="0"/>
    </xf>
    <xf numFmtId="0" fontId="9" fillId="0" borderId="63" xfId="0" applyFont="1" applyBorder="1" applyAlignment="1" applyProtection="1">
      <alignment horizontal="center"/>
      <protection locked="0"/>
    </xf>
    <xf numFmtId="0" fontId="34" fillId="0" borderId="63" xfId="0" applyFont="1" applyBorder="1" applyAlignment="1" applyProtection="1">
      <alignment horizontal="center" vertical="top"/>
      <protection locked="0"/>
    </xf>
    <xf numFmtId="0" fontId="7" fillId="0" borderId="63" xfId="0" applyFont="1" applyBorder="1" applyAlignment="1" applyProtection="1">
      <alignment horizontal="center" vertical="center"/>
      <protection locked="0"/>
    </xf>
    <xf numFmtId="0" fontId="33" fillId="0" borderId="94" xfId="0" applyFont="1" applyBorder="1" applyAlignment="1" applyProtection="1">
      <alignment horizontal="center"/>
      <protection hidden="1"/>
    </xf>
    <xf numFmtId="0" fontId="41" fillId="0" borderId="63" xfId="0" applyFont="1" applyBorder="1" applyAlignment="1" applyProtection="1">
      <alignment horizontal="center"/>
      <protection hidden="1"/>
    </xf>
    <xf numFmtId="0" fontId="41" fillId="0" borderId="94" xfId="0" applyFont="1" applyBorder="1" applyAlignment="1" applyProtection="1">
      <alignment horizontal="center"/>
      <protection hidden="1"/>
    </xf>
    <xf numFmtId="4" fontId="35" fillId="0" borderId="141" xfId="0" applyNumberFormat="1" applyFont="1" applyBorder="1" applyAlignment="1" applyProtection="1">
      <alignment horizontal="left" vertical="center" wrapText="1"/>
      <protection locked="0"/>
    </xf>
    <xf numFmtId="4" fontId="35" fillId="0" borderId="142" xfId="0" applyNumberFormat="1" applyFont="1" applyBorder="1" applyAlignment="1" applyProtection="1">
      <alignment horizontal="left" vertical="center" wrapText="1"/>
      <protection locked="0"/>
    </xf>
    <xf numFmtId="4" fontId="35" fillId="0" borderId="143" xfId="0" applyNumberFormat="1" applyFont="1" applyBorder="1" applyAlignment="1" applyProtection="1">
      <alignment horizontal="left" vertical="center" wrapText="1"/>
      <protection locked="0"/>
    </xf>
    <xf numFmtId="4" fontId="35" fillId="0" borderId="144" xfId="0" applyNumberFormat="1" applyFont="1" applyBorder="1" applyAlignment="1" applyProtection="1">
      <alignment horizontal="left" vertical="center" wrapText="1"/>
      <protection locked="0"/>
    </xf>
    <xf numFmtId="4" fontId="35" fillId="0" borderId="94" xfId="0" applyNumberFormat="1" applyFont="1" applyBorder="1" applyAlignment="1" applyProtection="1">
      <alignment horizontal="left" vertical="center" wrapText="1"/>
      <protection locked="0"/>
    </xf>
    <xf numFmtId="4" fontId="35" fillId="0" borderId="145" xfId="0" applyNumberFormat="1" applyFont="1" applyBorder="1" applyAlignment="1" applyProtection="1">
      <alignment horizontal="left" vertical="center" wrapText="1"/>
      <protection locked="0"/>
    </xf>
    <xf numFmtId="4" fontId="35" fillId="0" borderId="95" xfId="0" applyNumberFormat="1" applyFont="1" applyBorder="1" applyAlignment="1" applyProtection="1">
      <alignment horizontal="left" vertical="center" wrapText="1"/>
      <protection locked="0"/>
    </xf>
    <xf numFmtId="4" fontId="35" fillId="0" borderId="106" xfId="0" applyNumberFormat="1" applyFont="1" applyBorder="1" applyAlignment="1" applyProtection="1">
      <alignment horizontal="left" vertical="center" wrapText="1"/>
      <protection locked="0"/>
    </xf>
    <xf numFmtId="4" fontId="35" fillId="0" borderId="102" xfId="0" applyNumberFormat="1" applyFont="1" applyBorder="1" applyAlignment="1" applyProtection="1">
      <alignment horizontal="left" vertical="center" wrapText="1"/>
      <protection locked="0"/>
    </xf>
    <xf numFmtId="3" fontId="34" fillId="0" borderId="137" xfId="0" applyNumberFormat="1" applyFont="1" applyBorder="1" applyAlignment="1" applyProtection="1">
      <alignment horizontal="center" vertical="center"/>
      <protection hidden="1"/>
    </xf>
    <xf numFmtId="3" fontId="34" fillId="0" borderId="112" xfId="0" applyNumberFormat="1" applyFont="1" applyBorder="1" applyAlignment="1" applyProtection="1">
      <alignment horizontal="center" vertical="center"/>
      <protection hidden="1"/>
    </xf>
    <xf numFmtId="3" fontId="33" fillId="0" borderId="137" xfId="0" applyNumberFormat="1" applyFont="1" applyBorder="1" applyAlignment="1" applyProtection="1">
      <alignment horizontal="center" vertical="center"/>
      <protection locked="0"/>
    </xf>
    <xf numFmtId="3" fontId="33" fillId="0" borderId="112" xfId="0" applyNumberFormat="1" applyFont="1" applyBorder="1" applyAlignment="1" applyProtection="1">
      <alignment horizontal="center" vertical="center"/>
      <protection locked="0"/>
    </xf>
    <xf numFmtId="4" fontId="69" fillId="0" borderId="95" xfId="0" applyNumberFormat="1" applyFont="1" applyBorder="1" applyAlignment="1" applyProtection="1">
      <alignment horizontal="left" vertical="center" wrapText="1"/>
      <protection locked="0"/>
    </xf>
    <xf numFmtId="4" fontId="69" fillId="0" borderId="106" xfId="0" applyNumberFormat="1" applyFont="1" applyBorder="1" applyAlignment="1" applyProtection="1">
      <alignment horizontal="left" vertical="center" wrapText="1"/>
      <protection locked="0"/>
    </xf>
    <xf numFmtId="4" fontId="69" fillId="0" borderId="102" xfId="0" applyNumberFormat="1" applyFont="1" applyBorder="1" applyAlignment="1" applyProtection="1">
      <alignment horizontal="left" vertical="center" wrapText="1"/>
      <protection locked="0"/>
    </xf>
    <xf numFmtId="0" fontId="33" fillId="0" borderId="137" xfId="0" applyFont="1" applyBorder="1" applyAlignment="1" applyProtection="1">
      <alignment horizontal="center" vertical="center"/>
      <protection locked="0"/>
    </xf>
    <xf numFmtId="0" fontId="33" fillId="0" borderId="112" xfId="0" applyFont="1" applyBorder="1" applyAlignment="1" applyProtection="1">
      <alignment horizontal="center" vertical="center"/>
      <protection locked="0"/>
    </xf>
    <xf numFmtId="0" fontId="33" fillId="0" borderId="137" xfId="0" applyFont="1" applyBorder="1" applyAlignment="1" applyProtection="1">
      <alignment horizontal="center" vertical="center" wrapText="1"/>
      <protection locked="0"/>
    </xf>
    <xf numFmtId="0" fontId="33" fillId="0" borderId="112" xfId="0" applyFont="1" applyBorder="1" applyAlignment="1" applyProtection="1">
      <alignment horizontal="center" vertical="center" wrapText="1"/>
      <protection locked="0"/>
    </xf>
    <xf numFmtId="0" fontId="9" fillId="0" borderId="0" xfId="0" applyFont="1" applyAlignment="1" applyProtection="1">
      <alignment horizontal="center"/>
      <protection locked="0"/>
    </xf>
    <xf numFmtId="0" fontId="7" fillId="0" borderId="0" xfId="0" applyFont="1" applyProtection="1">
      <protection locked="0"/>
    </xf>
    <xf numFmtId="0" fontId="7" fillId="0" borderId="0" xfId="0" applyFont="1" applyAlignment="1" applyProtection="1">
      <alignment horizontal="center"/>
      <protection locked="0"/>
    </xf>
    <xf numFmtId="4" fontId="44" fillId="0" borderId="95" xfId="0" applyNumberFormat="1" applyFont="1" applyBorder="1" applyAlignment="1" applyProtection="1">
      <alignment horizontal="center" vertical="center" wrapText="1"/>
      <protection locked="0"/>
    </xf>
    <xf numFmtId="4" fontId="44" fillId="0" borderId="106" xfId="0" applyNumberFormat="1" applyFont="1" applyBorder="1" applyAlignment="1" applyProtection="1">
      <alignment horizontal="center" vertical="center" wrapText="1"/>
      <protection locked="0"/>
    </xf>
    <xf numFmtId="4" fontId="44" fillId="0" borderId="102" xfId="0" applyNumberFormat="1" applyFont="1" applyBorder="1" applyAlignment="1" applyProtection="1">
      <alignment horizontal="center" vertical="center" wrapText="1"/>
      <protection locked="0"/>
    </xf>
    <xf numFmtId="0" fontId="9" fillId="0" borderId="33" xfId="0" applyFont="1" applyBorder="1" applyAlignment="1" applyProtection="1">
      <alignment horizontal="left"/>
      <protection hidden="1"/>
    </xf>
    <xf numFmtId="0" fontId="9" fillId="0" borderId="8" xfId="0" applyFont="1" applyBorder="1" applyAlignment="1" applyProtection="1">
      <alignment horizontal="left" wrapText="1"/>
      <protection locked="0"/>
    </xf>
    <xf numFmtId="0" fontId="9" fillId="0" borderId="52" xfId="0" applyFont="1" applyBorder="1" applyAlignment="1" applyProtection="1">
      <alignment horizontal="left" wrapText="1"/>
      <protection locked="0"/>
    </xf>
    <xf numFmtId="0" fontId="5" fillId="0" borderId="8" xfId="0" applyFont="1" applyBorder="1" applyAlignment="1" applyProtection="1">
      <alignment horizontal="left"/>
      <protection locked="0"/>
    </xf>
    <xf numFmtId="0" fontId="9" fillId="0" borderId="0" xfId="0" applyFont="1" applyAlignment="1" applyProtection="1">
      <alignment wrapText="1"/>
      <protection locked="0"/>
    </xf>
    <xf numFmtId="0" fontId="36" fillId="0" borderId="63" xfId="0" applyFont="1" applyBorder="1" applyAlignment="1" applyProtection="1">
      <alignment horizontal="center" vertical="center"/>
      <protection locked="0"/>
    </xf>
    <xf numFmtId="0" fontId="6" fillId="0" borderId="63" xfId="0" applyFont="1" applyBorder="1" applyAlignment="1" applyProtection="1">
      <alignment horizontal="center" vertical="center"/>
      <protection locked="0"/>
    </xf>
    <xf numFmtId="4" fontId="35" fillId="0" borderId="95" xfId="0" applyNumberFormat="1" applyFont="1" applyBorder="1" applyAlignment="1" applyProtection="1">
      <alignment vertical="center" wrapText="1"/>
      <protection locked="0"/>
    </xf>
    <xf numFmtId="4" fontId="35" fillId="0" borderId="106" xfId="0" applyNumberFormat="1" applyFont="1" applyBorder="1" applyAlignment="1" applyProtection="1">
      <alignment vertical="center" wrapText="1"/>
      <protection locked="0"/>
    </xf>
    <xf numFmtId="4" fontId="35" fillId="0" borderId="102" xfId="0" applyNumberFormat="1" applyFont="1" applyBorder="1" applyAlignment="1" applyProtection="1">
      <alignment vertical="center" wrapText="1"/>
      <protection locked="0"/>
    </xf>
    <xf numFmtId="0" fontId="33" fillId="0" borderId="87" xfId="0" applyFont="1" applyBorder="1" applyAlignment="1" applyProtection="1">
      <alignment horizontal="center" vertical="center"/>
      <protection locked="0"/>
    </xf>
    <xf numFmtId="0" fontId="34" fillId="0" borderId="142" xfId="0" applyFont="1" applyBorder="1" applyAlignment="1" applyProtection="1">
      <alignment horizontal="center" vertical="top"/>
      <protection locked="0"/>
    </xf>
    <xf numFmtId="0" fontId="9" fillId="0" borderId="72" xfId="0" applyFont="1" applyBorder="1" applyAlignment="1" applyProtection="1">
      <alignment horizontal="center" vertical="center"/>
      <protection hidden="1"/>
    </xf>
    <xf numFmtId="0" fontId="5" fillId="0" borderId="73" xfId="0" applyFont="1" applyBorder="1" applyProtection="1">
      <protection hidden="1"/>
    </xf>
    <xf numFmtId="0" fontId="7" fillId="0" borderId="72" xfId="0" applyFont="1" applyBorder="1" applyAlignment="1" applyProtection="1">
      <alignment horizontal="center" vertical="center" wrapText="1"/>
      <protection locked="0"/>
    </xf>
    <xf numFmtId="0" fontId="5" fillId="0" borderId="73" xfId="0" applyFont="1" applyBorder="1" applyProtection="1">
      <protection locked="0"/>
    </xf>
    <xf numFmtId="0" fontId="7" fillId="0" borderId="45" xfId="0" applyFont="1" applyBorder="1" applyAlignment="1" applyProtection="1">
      <alignment horizontal="left" vertical="top"/>
      <protection locked="0"/>
    </xf>
    <xf numFmtId="0" fontId="5" fillId="0" borderId="61" xfId="0" applyFont="1" applyBorder="1" applyProtection="1">
      <protection locked="0"/>
    </xf>
    <xf numFmtId="0" fontId="5" fillId="0" borderId="49" xfId="0" applyFont="1" applyBorder="1" applyProtection="1">
      <protection locked="0"/>
    </xf>
    <xf numFmtId="0" fontId="5" fillId="0" borderId="74" xfId="0" applyFont="1" applyBorder="1" applyProtection="1">
      <protection locked="0"/>
    </xf>
    <xf numFmtId="0" fontId="5" fillId="0" borderId="75" xfId="0" applyFont="1" applyBorder="1" applyProtection="1">
      <protection locked="0"/>
    </xf>
    <xf numFmtId="0" fontId="5" fillId="0" borderId="7" xfId="0" applyFont="1" applyBorder="1" applyProtection="1">
      <protection locked="0"/>
    </xf>
    <xf numFmtId="0" fontId="5" fillId="0" borderId="8" xfId="0" applyFont="1" applyBorder="1" applyProtection="1">
      <protection locked="0"/>
    </xf>
    <xf numFmtId="0" fontId="5" fillId="0" borderId="53" xfId="0" applyFont="1" applyBorder="1" applyProtection="1">
      <protection locked="0"/>
    </xf>
    <xf numFmtId="0" fontId="33" fillId="0" borderId="87" xfId="0" applyFont="1" applyBorder="1" applyAlignment="1" applyProtection="1">
      <alignment horizontal="center" vertical="center" wrapText="1"/>
      <protection locked="0"/>
    </xf>
    <xf numFmtId="0" fontId="33" fillId="0" borderId="72" xfId="0" applyFont="1" applyBorder="1" applyAlignment="1" applyProtection="1">
      <alignment horizontal="center" vertical="center"/>
      <protection hidden="1"/>
    </xf>
    <xf numFmtId="0" fontId="40" fillId="0" borderId="73" xfId="0" applyFont="1" applyBorder="1" applyProtection="1">
      <protection hidden="1"/>
    </xf>
    <xf numFmtId="0" fontId="9" fillId="0" borderId="52" xfId="0" applyFont="1" applyBorder="1" applyAlignment="1" applyProtection="1">
      <alignment horizontal="center"/>
      <protection hidden="1"/>
    </xf>
    <xf numFmtId="0" fontId="34" fillId="0" borderId="0" xfId="0" applyFont="1" applyAlignment="1" applyProtection="1">
      <alignment horizontal="center"/>
      <protection locked="0"/>
    </xf>
    <xf numFmtId="4" fontId="47" fillId="0" borderId="95" xfId="0" applyNumberFormat="1" applyFont="1" applyBorder="1" applyAlignment="1" applyProtection="1">
      <alignment vertical="center" wrapText="1"/>
      <protection locked="0"/>
    </xf>
    <xf numFmtId="4" fontId="47" fillId="0" borderId="106" xfId="0" applyNumberFormat="1" applyFont="1" applyBorder="1" applyAlignment="1" applyProtection="1">
      <alignment vertical="center" wrapText="1"/>
      <protection locked="0"/>
    </xf>
    <xf numFmtId="4" fontId="47" fillId="0" borderId="102" xfId="0" applyNumberFormat="1" applyFont="1" applyBorder="1" applyAlignment="1" applyProtection="1">
      <alignment vertical="center" wrapText="1"/>
      <protection locked="0"/>
    </xf>
    <xf numFmtId="4" fontId="46" fillId="0" borderId="95" xfId="0" applyNumberFormat="1" applyFont="1" applyBorder="1" applyAlignment="1" applyProtection="1">
      <alignment vertical="center" wrapText="1"/>
      <protection locked="0"/>
    </xf>
    <xf numFmtId="4" fontId="46" fillId="0" borderId="106" xfId="0" applyNumberFormat="1" applyFont="1" applyBorder="1" applyAlignment="1" applyProtection="1">
      <alignment vertical="center" wrapText="1"/>
      <protection locked="0"/>
    </xf>
    <xf numFmtId="4" fontId="46" fillId="0" borderId="102" xfId="0" applyNumberFormat="1" applyFont="1" applyBorder="1" applyAlignment="1" applyProtection="1">
      <alignment vertical="center" wrapText="1"/>
      <protection locked="0"/>
    </xf>
    <xf numFmtId="0" fontId="33" fillId="0" borderId="63" xfId="0" applyFont="1" applyBorder="1" applyAlignment="1" applyProtection="1">
      <alignment horizontal="center"/>
      <protection locked="0"/>
    </xf>
    <xf numFmtId="0" fontId="45" fillId="22" borderId="95" xfId="0" applyFont="1" applyFill="1" applyBorder="1" applyAlignment="1" applyProtection="1">
      <alignment horizontal="left" vertical="center" wrapText="1"/>
      <protection locked="0"/>
    </xf>
    <xf numFmtId="0" fontId="45" fillId="22" borderId="106" xfId="0" applyFont="1" applyFill="1" applyBorder="1" applyAlignment="1" applyProtection="1">
      <alignment horizontal="left" vertical="center" wrapText="1"/>
      <protection locked="0"/>
    </xf>
    <xf numFmtId="0" fontId="45" fillId="22" borderId="102" xfId="0" applyFont="1" applyFill="1" applyBorder="1" applyAlignment="1" applyProtection="1">
      <alignment horizontal="left" vertical="center" wrapText="1"/>
      <protection locked="0"/>
    </xf>
    <xf numFmtId="0" fontId="14" fillId="5" borderId="12" xfId="0" applyFont="1" applyFill="1" applyBorder="1" applyAlignment="1">
      <alignment vertical="center"/>
    </xf>
    <xf numFmtId="0" fontId="5" fillId="0" borderId="31" xfId="0" applyFont="1" applyBorder="1"/>
    <xf numFmtId="0" fontId="14" fillId="5" borderId="45" xfId="0" applyFont="1" applyFill="1" applyBorder="1" applyAlignment="1">
      <alignment vertical="center"/>
    </xf>
    <xf numFmtId="0" fontId="5" fillId="0" borderId="46" xfId="0" applyFont="1" applyBorder="1"/>
    <xf numFmtId="0" fontId="5" fillId="0" borderId="7" xfId="0" applyFont="1" applyBorder="1"/>
    <xf numFmtId="0" fontId="5" fillId="0" borderId="50" xfId="0" applyFont="1" applyBorder="1"/>
    <xf numFmtId="0" fontId="4" fillId="2" borderId="1" xfId="0" applyFont="1" applyFill="1" applyBorder="1" applyAlignment="1">
      <alignment horizontal="center" vertical="center"/>
    </xf>
    <xf numFmtId="0" fontId="5" fillId="0" borderId="2" xfId="0" applyFont="1" applyBorder="1"/>
    <xf numFmtId="0" fontId="5" fillId="0" borderId="6" xfId="0" applyFont="1" applyBorder="1"/>
    <xf numFmtId="0" fontId="5" fillId="0" borderId="10" xfId="0" applyFont="1" applyBorder="1"/>
    <xf numFmtId="0" fontId="0" fillId="0" borderId="0" xfId="0"/>
    <xf numFmtId="0" fontId="5" fillId="0" borderId="11" xfId="0" applyFont="1" applyBorder="1"/>
    <xf numFmtId="0" fontId="5" fillId="0" borderId="15" xfId="0" applyFont="1" applyBorder="1"/>
    <xf numFmtId="0" fontId="5" fillId="0" borderId="16" xfId="0" applyFont="1" applyBorder="1"/>
    <xf numFmtId="0" fontId="5" fillId="0" borderId="17" xfId="0" applyFont="1" applyBorder="1"/>
    <xf numFmtId="0" fontId="13" fillId="3" borderId="19" xfId="0" applyFont="1" applyFill="1" applyBorder="1" applyAlignment="1">
      <alignment horizontal="center" vertical="center"/>
    </xf>
    <xf numFmtId="0" fontId="5" fillId="0" borderId="21" xfId="0" applyFont="1" applyBorder="1" applyAlignment="1">
      <alignment horizontal="center"/>
    </xf>
    <xf numFmtId="0" fontId="5" fillId="0" borderId="24" xfId="0" applyFont="1" applyBorder="1" applyAlignment="1">
      <alignment horizontal="center"/>
    </xf>
    <xf numFmtId="0" fontId="5" fillId="0" borderId="25" xfId="0" applyFont="1" applyBorder="1" applyAlignment="1">
      <alignment horizontal="center"/>
    </xf>
    <xf numFmtId="0" fontId="5" fillId="0" borderId="16" xfId="0" applyFont="1" applyBorder="1" applyAlignment="1">
      <alignment horizontal="center"/>
    </xf>
    <xf numFmtId="0" fontId="5" fillId="0" borderId="26" xfId="0" applyFont="1" applyBorder="1" applyAlignment="1">
      <alignment horizontal="center"/>
    </xf>
    <xf numFmtId="0" fontId="8" fillId="5" borderId="33" xfId="0" applyFont="1" applyFill="1" applyBorder="1" applyAlignment="1">
      <alignment vertical="center"/>
    </xf>
    <xf numFmtId="0" fontId="5" fillId="0" borderId="34" xfId="0" applyFont="1" applyBorder="1"/>
    <xf numFmtId="0" fontId="67" fillId="22" borderId="90" xfId="0" applyFont="1" applyFill="1" applyBorder="1" applyAlignment="1">
      <alignment horizontal="center" vertical="center"/>
    </xf>
    <xf numFmtId="0" fontId="67" fillId="22" borderId="91" xfId="0" applyFont="1" applyFill="1" applyBorder="1" applyAlignment="1">
      <alignment horizontal="center" vertical="center"/>
    </xf>
    <xf numFmtId="0" fontId="67" fillId="22" borderId="114" xfId="0" applyFont="1" applyFill="1" applyBorder="1" applyAlignment="1">
      <alignment horizontal="center" vertical="center"/>
    </xf>
    <xf numFmtId="0" fontId="67" fillId="22" borderId="85" xfId="0" applyFont="1" applyFill="1" applyBorder="1" applyAlignment="1">
      <alignment horizontal="center" vertical="center"/>
    </xf>
    <xf numFmtId="0" fontId="67" fillId="22" borderId="63" xfId="0" applyFont="1" applyFill="1" applyBorder="1" applyAlignment="1">
      <alignment horizontal="center" vertical="center"/>
    </xf>
    <xf numFmtId="0" fontId="67" fillId="22" borderId="86" xfId="0" applyFont="1" applyFill="1" applyBorder="1" applyAlignment="1">
      <alignment horizontal="center" vertical="center"/>
    </xf>
    <xf numFmtId="0" fontId="67" fillId="22" borderId="77" xfId="0" applyFont="1" applyFill="1" applyBorder="1" applyAlignment="1">
      <alignment horizontal="center" vertical="center"/>
    </xf>
    <xf numFmtId="0" fontId="67" fillId="22" borderId="84" xfId="0" applyFont="1" applyFill="1" applyBorder="1" applyAlignment="1">
      <alignment horizontal="center" vertical="center"/>
    </xf>
    <xf numFmtId="0" fontId="67" fillId="22" borderId="78" xfId="0" applyFont="1" applyFill="1" applyBorder="1" applyAlignment="1">
      <alignment horizontal="center" vertical="center"/>
    </xf>
    <xf numFmtId="0" fontId="8" fillId="5" borderId="48" xfId="0" applyFont="1" applyFill="1" applyBorder="1" applyAlignment="1">
      <alignment vertical="center" wrapText="1"/>
    </xf>
    <xf numFmtId="0" fontId="5" fillId="0" borderId="49" xfId="0" applyFont="1" applyBorder="1" applyAlignment="1">
      <alignment wrapText="1"/>
    </xf>
    <xf numFmtId="0" fontId="5" fillId="0" borderId="52" xfId="0" applyFont="1" applyBorder="1" applyAlignment="1">
      <alignment wrapText="1"/>
    </xf>
    <xf numFmtId="0" fontId="5" fillId="0" borderId="53" xfId="0" applyFont="1" applyBorder="1" applyAlignment="1">
      <alignment wrapText="1"/>
    </xf>
    <xf numFmtId="0" fontId="8" fillId="5" borderId="13" xfId="0" applyFont="1" applyFill="1" applyBorder="1" applyAlignment="1">
      <alignment vertical="center"/>
    </xf>
    <xf numFmtId="0" fontId="26" fillId="9" borderId="1" xfId="0" applyFont="1" applyFill="1" applyBorder="1" applyAlignment="1">
      <alignment horizontal="left" wrapText="1"/>
    </xf>
    <xf numFmtId="0" fontId="5" fillId="0" borderId="13" xfId="0" applyFont="1" applyBorder="1"/>
    <xf numFmtId="0" fontId="8" fillId="5" borderId="33" xfId="0" applyFont="1" applyFill="1" applyBorder="1" applyAlignment="1">
      <alignment horizontal="left" vertical="center"/>
    </xf>
    <xf numFmtId="0" fontId="14" fillId="5" borderId="47" xfId="0" applyFont="1" applyFill="1" applyBorder="1" applyAlignment="1">
      <alignment horizontal="center" vertical="center"/>
    </xf>
    <xf numFmtId="0" fontId="5" fillId="0" borderId="51" xfId="0" applyFont="1" applyBorder="1"/>
    <xf numFmtId="0" fontId="27" fillId="0" borderId="81" xfId="0" applyFont="1" applyBorder="1" applyAlignment="1" applyProtection="1">
      <alignment horizontal="center"/>
      <protection hidden="1"/>
    </xf>
    <xf numFmtId="0" fontId="27" fillId="0" borderId="83" xfId="0" applyFont="1" applyBorder="1" applyAlignment="1" applyProtection="1">
      <alignment horizontal="center"/>
      <protection hidden="1"/>
    </xf>
    <xf numFmtId="0" fontId="27" fillId="0" borderId="82" xfId="0" applyFont="1" applyBorder="1" applyAlignment="1" applyProtection="1">
      <alignment horizontal="center"/>
      <protection hidden="1"/>
    </xf>
    <xf numFmtId="0" fontId="2" fillId="0" borderId="81" xfId="0" applyFont="1" applyBorder="1" applyAlignment="1" applyProtection="1">
      <alignment horizontal="center" vertical="center"/>
      <protection hidden="1"/>
    </xf>
    <xf numFmtId="0" fontId="2" fillId="0" borderId="82" xfId="0" applyFont="1" applyBorder="1" applyAlignment="1" applyProtection="1">
      <alignment horizontal="center" vertical="center"/>
      <protection hidden="1"/>
    </xf>
    <xf numFmtId="0" fontId="2" fillId="0" borderId="83" xfId="0" applyFont="1" applyBorder="1" applyAlignment="1" applyProtection="1">
      <alignment horizontal="center" vertical="center"/>
      <protection hidden="1"/>
    </xf>
    <xf numFmtId="0" fontId="37" fillId="0" borderId="0" xfId="0" applyFont="1" applyAlignment="1" applyProtection="1">
      <alignment horizontal="center" vertical="center"/>
      <protection locked="0"/>
    </xf>
    <xf numFmtId="0" fontId="2" fillId="0" borderId="3" xfId="0" applyFont="1" applyBorder="1" applyAlignment="1" applyProtection="1">
      <alignment horizontal="center" vertical="center"/>
      <protection hidden="1"/>
    </xf>
    <xf numFmtId="0" fontId="27" fillId="0" borderId="4" xfId="0" applyFont="1" applyBorder="1" applyAlignment="1" applyProtection="1">
      <alignment horizontal="center"/>
      <protection hidden="1"/>
    </xf>
    <xf numFmtId="0" fontId="27" fillId="0" borderId="5" xfId="0" applyFont="1" applyBorder="1" applyAlignment="1" applyProtection="1">
      <alignment horizontal="center"/>
      <protection hidden="1"/>
    </xf>
    <xf numFmtId="0" fontId="3" fillId="8" borderId="52" xfId="0" applyFont="1" applyFill="1" applyBorder="1" applyAlignment="1" applyProtection="1">
      <alignment horizontal="left" vertical="center"/>
      <protection hidden="1"/>
    </xf>
    <xf numFmtId="0" fontId="27" fillId="8" borderId="52" xfId="0" applyFont="1" applyFill="1" applyBorder="1" applyProtection="1">
      <protection hidden="1"/>
    </xf>
    <xf numFmtId="0" fontId="27" fillId="8" borderId="9" xfId="0" applyFont="1" applyFill="1" applyBorder="1" applyProtection="1">
      <protection hidden="1"/>
    </xf>
    <xf numFmtId="1" fontId="28" fillId="8" borderId="52" xfId="0" applyNumberFormat="1" applyFont="1" applyFill="1" applyBorder="1" applyAlignment="1" applyProtection="1">
      <alignment horizontal="center" vertical="center"/>
      <protection hidden="1"/>
    </xf>
    <xf numFmtId="1" fontId="27" fillId="8" borderId="9" xfId="0" applyNumberFormat="1" applyFont="1" applyFill="1" applyBorder="1" applyAlignment="1" applyProtection="1">
      <alignment vertical="center"/>
      <protection hidden="1"/>
    </xf>
    <xf numFmtId="0" fontId="50" fillId="0" borderId="81" xfId="0" applyFont="1" applyBorder="1" applyAlignment="1" applyProtection="1">
      <alignment horizontal="center"/>
      <protection locked="0"/>
    </xf>
    <xf numFmtId="0" fontId="50" fillId="0" borderId="82" xfId="0" applyFont="1" applyBorder="1" applyAlignment="1" applyProtection="1">
      <alignment horizontal="center"/>
      <protection locked="0"/>
    </xf>
    <xf numFmtId="0" fontId="50" fillId="0" borderId="83" xfId="0" applyFont="1" applyBorder="1" applyAlignment="1" applyProtection="1">
      <alignment horizontal="center"/>
      <protection locked="0"/>
    </xf>
    <xf numFmtId="0" fontId="27" fillId="0" borderId="90" xfId="0" applyFont="1" applyBorder="1" applyAlignment="1" applyProtection="1">
      <alignment horizontal="center" vertical="center"/>
      <protection hidden="1"/>
    </xf>
    <xf numFmtId="0" fontId="27" fillId="0" borderId="91" xfId="0" applyFont="1" applyBorder="1" applyAlignment="1" applyProtection="1">
      <alignment horizontal="center" vertical="center"/>
      <protection hidden="1"/>
    </xf>
    <xf numFmtId="0" fontId="27" fillId="0" borderId="114" xfId="0" applyFont="1" applyBorder="1" applyAlignment="1" applyProtection="1">
      <alignment horizontal="center" vertical="center"/>
      <protection hidden="1"/>
    </xf>
    <xf numFmtId="0" fontId="0" fillId="0" borderId="81" xfId="0" applyBorder="1" applyAlignment="1" applyProtection="1">
      <alignment horizontal="center"/>
      <protection hidden="1"/>
    </xf>
    <xf numFmtId="0" fontId="0" fillId="0" borderId="82" xfId="0" applyBorder="1" applyAlignment="1" applyProtection="1">
      <alignment horizontal="center"/>
      <protection hidden="1"/>
    </xf>
    <xf numFmtId="0" fontId="0" fillId="0" borderId="83" xfId="0" applyBorder="1" applyAlignment="1" applyProtection="1">
      <alignment horizontal="center"/>
      <protection hidden="1"/>
    </xf>
    <xf numFmtId="0" fontId="48" fillId="0" borderId="111" xfId="0" applyFont="1" applyBorder="1" applyAlignment="1" applyProtection="1">
      <alignment horizontal="center" vertical="center" wrapText="1"/>
      <protection locked="0"/>
    </xf>
    <xf numFmtId="0" fontId="48" fillId="0" borderId="96" xfId="0" applyFont="1" applyBorder="1" applyAlignment="1" applyProtection="1">
      <alignment horizontal="center" vertical="center" wrapText="1"/>
      <protection locked="0"/>
    </xf>
    <xf numFmtId="0" fontId="48" fillId="0" borderId="111" xfId="0" applyFont="1" applyBorder="1" applyAlignment="1" applyProtection="1">
      <alignment horizontal="center" vertical="center"/>
      <protection locked="0"/>
    </xf>
    <xf numFmtId="0" fontId="48" fillId="0" borderId="96" xfId="0" applyFont="1" applyBorder="1" applyAlignment="1" applyProtection="1">
      <alignment horizontal="center" vertical="center"/>
      <protection locked="0"/>
    </xf>
    <xf numFmtId="0" fontId="49" fillId="0" borderId="3" xfId="0" applyFont="1" applyBorder="1" applyAlignment="1" applyProtection="1">
      <alignment horizontal="center" vertical="center" wrapText="1"/>
      <protection locked="0"/>
    </xf>
    <xf numFmtId="0" fontId="49" fillId="0" borderId="21" xfId="0" applyFont="1" applyBorder="1" applyAlignment="1" applyProtection="1">
      <alignment horizontal="center" vertical="center" wrapText="1"/>
      <protection locked="0"/>
    </xf>
    <xf numFmtId="0" fontId="49" fillId="0" borderId="107" xfId="0" applyFont="1" applyBorder="1" applyAlignment="1" applyProtection="1">
      <alignment horizontal="center" vertical="center" wrapText="1"/>
      <protection locked="0"/>
    </xf>
    <xf numFmtId="0" fontId="17" fillId="0" borderId="88" xfId="0" applyFont="1" applyBorder="1" applyAlignment="1" applyProtection="1">
      <alignment horizontal="center" vertical="center"/>
      <protection locked="0"/>
    </xf>
    <xf numFmtId="0" fontId="17" fillId="0" borderId="21" xfId="0" applyFont="1" applyBorder="1" applyAlignment="1" applyProtection="1">
      <alignment horizontal="center" vertical="center"/>
      <protection locked="0"/>
    </xf>
    <xf numFmtId="0" fontId="17" fillId="0" borderId="85" xfId="0" applyFont="1" applyBorder="1" applyAlignment="1" applyProtection="1">
      <alignment horizontal="center" vertical="center"/>
      <protection locked="0"/>
    </xf>
    <xf numFmtId="0" fontId="17" fillId="0" borderId="63" xfId="0" applyFont="1" applyBorder="1" applyAlignment="1" applyProtection="1">
      <alignment horizontal="center" vertical="center"/>
      <protection locked="0"/>
    </xf>
    <xf numFmtId="0" fontId="29" fillId="0" borderId="90" xfId="0" applyFont="1" applyBorder="1" applyAlignment="1" applyProtection="1">
      <alignment horizontal="center" vertical="center"/>
      <protection locked="0"/>
    </xf>
    <xf numFmtId="0" fontId="29" fillId="0" borderId="114" xfId="0" applyFont="1" applyBorder="1" applyAlignment="1" applyProtection="1">
      <alignment horizontal="center" vertical="center"/>
      <protection locked="0"/>
    </xf>
    <xf numFmtId="0" fontId="29" fillId="0" borderId="85" xfId="0" applyFont="1" applyBorder="1" applyAlignment="1" applyProtection="1">
      <alignment horizontal="center" vertical="center"/>
      <protection locked="0"/>
    </xf>
    <xf numFmtId="0" fontId="29" fillId="0" borderId="86" xfId="0" applyFont="1" applyBorder="1" applyAlignment="1" applyProtection="1">
      <alignment horizontal="center" vertical="center"/>
      <protection locked="0"/>
    </xf>
    <xf numFmtId="0" fontId="29" fillId="0" borderId="77" xfId="0" applyFont="1" applyBorder="1" applyAlignment="1" applyProtection="1">
      <alignment horizontal="center" vertical="center"/>
      <protection locked="0"/>
    </xf>
    <xf numFmtId="0" fontId="29" fillId="0" borderId="78" xfId="0" applyFont="1" applyBorder="1" applyAlignment="1" applyProtection="1">
      <alignment horizontal="center" vertical="center"/>
      <protection locked="0"/>
    </xf>
    <xf numFmtId="0" fontId="29" fillId="0" borderId="111" xfId="0" applyFont="1" applyBorder="1" applyAlignment="1" applyProtection="1">
      <alignment horizontal="center" vertical="center"/>
      <protection locked="0"/>
    </xf>
    <xf numFmtId="0" fontId="29" fillId="0" borderId="105" xfId="0" applyFont="1" applyBorder="1" applyAlignment="1" applyProtection="1">
      <alignment horizontal="center" vertical="center"/>
      <protection locked="0"/>
    </xf>
    <xf numFmtId="0" fontId="29" fillId="0" borderId="96" xfId="0" applyFont="1" applyBorder="1" applyAlignment="1" applyProtection="1">
      <alignment horizontal="center" vertical="center"/>
      <protection locked="0"/>
    </xf>
    <xf numFmtId="0" fontId="39" fillId="0" borderId="63" xfId="0" applyFont="1" applyBorder="1" applyAlignment="1" applyProtection="1">
      <alignment horizontal="right" vertical="center" wrapText="1"/>
      <protection locked="0"/>
    </xf>
    <xf numFmtId="0" fontId="10" fillId="7" borderId="81" xfId="0" applyFont="1" applyFill="1" applyBorder="1" applyAlignment="1" applyProtection="1">
      <alignment horizontal="center" vertical="center"/>
      <protection locked="0"/>
    </xf>
    <xf numFmtId="0" fontId="10" fillId="7" borderId="82" xfId="0" applyFont="1" applyFill="1" applyBorder="1" applyAlignment="1" applyProtection="1">
      <alignment horizontal="center" vertical="center"/>
      <protection locked="0"/>
    </xf>
    <xf numFmtId="0" fontId="10" fillId="7" borderId="83" xfId="0" applyFont="1" applyFill="1" applyBorder="1" applyAlignment="1" applyProtection="1">
      <alignment horizontal="center" vertical="center"/>
      <protection locked="0"/>
    </xf>
    <xf numFmtId="0" fontId="43" fillId="0" borderId="85" xfId="0" applyFont="1" applyBorder="1" applyAlignment="1" applyProtection="1">
      <alignment horizontal="center" vertical="center"/>
      <protection locked="0"/>
    </xf>
    <xf numFmtId="0" fontId="5" fillId="0" borderId="63" xfId="0" applyFont="1" applyBorder="1" applyProtection="1">
      <protection locked="0"/>
    </xf>
    <xf numFmtId="0" fontId="5" fillId="0" borderId="62" xfId="0" applyFont="1" applyBorder="1" applyProtection="1">
      <protection locked="0"/>
    </xf>
    <xf numFmtId="0" fontId="5" fillId="0" borderId="85" xfId="0" applyFont="1" applyBorder="1" applyProtection="1">
      <protection locked="0"/>
    </xf>
    <xf numFmtId="0" fontId="0" fillId="0" borderId="63" xfId="0" applyBorder="1" applyProtection="1">
      <protection locked="0"/>
    </xf>
    <xf numFmtId="0" fontId="3" fillId="0" borderId="77" xfId="0" applyFont="1" applyBorder="1" applyAlignment="1" applyProtection="1">
      <alignment horizontal="center" vertical="center"/>
      <protection hidden="1"/>
    </xf>
    <xf numFmtId="0" fontId="3" fillId="0" borderId="84" xfId="0" applyFont="1" applyBorder="1" applyAlignment="1" applyProtection="1">
      <alignment horizontal="center" vertical="center"/>
      <protection hidden="1"/>
    </xf>
    <xf numFmtId="0" fontId="3" fillId="0" borderId="78" xfId="0" applyFont="1" applyBorder="1" applyAlignment="1" applyProtection="1">
      <alignment horizontal="center" vertical="center"/>
      <protection hidden="1"/>
    </xf>
    <xf numFmtId="0" fontId="3" fillId="0" borderId="60" xfId="0" applyFont="1" applyBorder="1" applyAlignment="1" applyProtection="1">
      <alignment horizontal="center" vertical="center"/>
      <protection hidden="1"/>
    </xf>
    <xf numFmtId="0" fontId="3" fillId="0" borderId="63" xfId="0" applyFont="1" applyBorder="1" applyAlignment="1" applyProtection="1">
      <alignment horizontal="center" vertical="center"/>
      <protection hidden="1"/>
    </xf>
    <xf numFmtId="0" fontId="3" fillId="0" borderId="86" xfId="0" applyFont="1" applyBorder="1" applyAlignment="1" applyProtection="1">
      <alignment horizontal="center" vertical="center"/>
      <protection hidden="1"/>
    </xf>
    <xf numFmtId="0" fontId="39" fillId="6" borderId="120" xfId="0" applyFont="1" applyFill="1" applyBorder="1" applyAlignment="1" applyProtection="1">
      <alignment horizontal="left" vertical="center"/>
      <protection locked="0"/>
    </xf>
    <xf numFmtId="0" fontId="5" fillId="0" borderId="4" xfId="0" applyFont="1" applyBorder="1" applyProtection="1">
      <protection locked="0"/>
    </xf>
    <xf numFmtId="0" fontId="5" fillId="0" borderId="65" xfId="0" applyFont="1" applyBorder="1" applyProtection="1">
      <protection locked="0"/>
    </xf>
    <xf numFmtId="0" fontId="5" fillId="0" borderId="79" xfId="0" applyFont="1" applyBorder="1" applyProtection="1">
      <protection locked="0"/>
    </xf>
    <xf numFmtId="0" fontId="29" fillId="0" borderId="115" xfId="0" applyFont="1" applyBorder="1" applyAlignment="1" applyProtection="1">
      <alignment horizontal="center" vertical="center"/>
      <protection locked="0"/>
    </xf>
    <xf numFmtId="0" fontId="29" fillId="0" borderId="62" xfId="0" applyFont="1" applyBorder="1" applyAlignment="1" applyProtection="1">
      <alignment horizontal="center" vertical="center"/>
      <protection locked="0"/>
    </xf>
    <xf numFmtId="0" fontId="30" fillId="0" borderId="109" xfId="0" applyFont="1" applyBorder="1" applyProtection="1">
      <protection locked="0"/>
    </xf>
    <xf numFmtId="0" fontId="29" fillId="0" borderId="116" xfId="0" applyFont="1" applyBorder="1" applyAlignment="1" applyProtection="1">
      <alignment horizontal="center" vertical="center"/>
      <protection locked="0"/>
    </xf>
    <xf numFmtId="0" fontId="29" fillId="0" borderId="103" xfId="0" applyFont="1" applyBorder="1" applyAlignment="1" applyProtection="1">
      <alignment horizontal="center" vertical="center"/>
      <protection locked="0"/>
    </xf>
    <xf numFmtId="0" fontId="29" fillId="0" borderId="118" xfId="0" applyFont="1" applyBorder="1" applyAlignment="1" applyProtection="1">
      <alignment horizontal="center" vertical="center"/>
      <protection locked="0"/>
    </xf>
    <xf numFmtId="0" fontId="29" fillId="0" borderId="117" xfId="0" applyFont="1" applyBorder="1" applyAlignment="1" applyProtection="1">
      <alignment horizontal="center" vertical="center"/>
      <protection locked="0"/>
    </xf>
    <xf numFmtId="0" fontId="29" fillId="0" borderId="92" xfId="0" applyFont="1" applyBorder="1" applyAlignment="1" applyProtection="1">
      <alignment horizontal="center" vertical="center"/>
      <protection locked="0"/>
    </xf>
    <xf numFmtId="0" fontId="49" fillId="0" borderId="4" xfId="0" applyFont="1" applyBorder="1" applyAlignment="1" applyProtection="1">
      <alignment horizontal="center" vertical="center" wrapText="1"/>
      <protection locked="0"/>
    </xf>
    <xf numFmtId="0" fontId="49" fillId="0" borderId="89" xfId="0" applyFont="1" applyBorder="1" applyAlignment="1" applyProtection="1">
      <alignment horizontal="center" vertical="center" wrapText="1"/>
      <protection locked="0"/>
    </xf>
    <xf numFmtId="0" fontId="24" fillId="0" borderId="90" xfId="0" applyFont="1" applyBorder="1" applyAlignment="1" applyProtection="1">
      <alignment horizontal="center" vertical="center"/>
      <protection locked="0"/>
    </xf>
    <xf numFmtId="0" fontId="24" fillId="0" borderId="91" xfId="0" applyFont="1" applyBorder="1" applyAlignment="1" applyProtection="1">
      <alignment horizontal="center" vertical="center"/>
      <protection locked="0"/>
    </xf>
    <xf numFmtId="0" fontId="24" fillId="0" borderId="114" xfId="0" applyFont="1" applyBorder="1" applyAlignment="1" applyProtection="1">
      <alignment horizontal="center" vertical="center"/>
      <protection locked="0"/>
    </xf>
    <xf numFmtId="0" fontId="3" fillId="8" borderId="57" xfId="0" applyFont="1" applyFill="1" applyBorder="1" applyAlignment="1" applyProtection="1">
      <alignment horizontal="left" vertical="center"/>
      <protection hidden="1"/>
    </xf>
    <xf numFmtId="0" fontId="3" fillId="8" borderId="76" xfId="0" applyFont="1" applyFill="1" applyBorder="1" applyAlignment="1" applyProtection="1">
      <alignment horizontal="left" vertical="center"/>
      <protection hidden="1"/>
    </xf>
    <xf numFmtId="0" fontId="3" fillId="8" borderId="71" xfId="0" applyFont="1" applyFill="1" applyBorder="1" applyAlignment="1" applyProtection="1">
      <alignment horizontal="left" vertical="center"/>
      <protection hidden="1"/>
    </xf>
    <xf numFmtId="1" fontId="3" fillId="8" borderId="18" xfId="0" applyNumberFormat="1" applyFont="1" applyFill="1" applyBorder="1" applyAlignment="1" applyProtection="1">
      <alignment horizontal="center" vertical="center"/>
      <protection hidden="1"/>
    </xf>
    <xf numFmtId="1" fontId="3" fillId="8" borderId="14" xfId="0" applyNumberFormat="1" applyFont="1" applyFill="1" applyBorder="1" applyAlignment="1" applyProtection="1">
      <alignment horizontal="center" vertical="center"/>
      <protection hidden="1"/>
    </xf>
    <xf numFmtId="0" fontId="3" fillId="8" borderId="35" xfId="0" applyFont="1" applyFill="1" applyBorder="1" applyAlignment="1" applyProtection="1">
      <alignment horizontal="left" vertical="center"/>
      <protection hidden="1"/>
    </xf>
    <xf numFmtId="0" fontId="3" fillId="8" borderId="33" xfId="0" applyFont="1" applyFill="1" applyBorder="1" applyAlignment="1" applyProtection="1">
      <alignment horizontal="left" vertical="center"/>
      <protection hidden="1"/>
    </xf>
    <xf numFmtId="0" fontId="3" fillId="8" borderId="14" xfId="0" applyFont="1" applyFill="1" applyBorder="1" applyAlignment="1" applyProtection="1">
      <alignment horizontal="left" vertical="center"/>
      <protection hidden="1"/>
    </xf>
    <xf numFmtId="0" fontId="3" fillId="8" borderId="20" xfId="0" applyFont="1" applyFill="1" applyBorder="1" applyAlignment="1" applyProtection="1">
      <alignment horizontal="left" vertical="center"/>
      <protection hidden="1"/>
    </xf>
    <xf numFmtId="0" fontId="27" fillId="8" borderId="22" xfId="0" applyFont="1" applyFill="1" applyBorder="1" applyProtection="1">
      <protection hidden="1"/>
    </xf>
    <xf numFmtId="0" fontId="27" fillId="8" borderId="23" xfId="0" applyFont="1" applyFill="1" applyBorder="1" applyProtection="1">
      <protection hidden="1"/>
    </xf>
    <xf numFmtId="1" fontId="28" fillId="8" borderId="22" xfId="0" applyNumberFormat="1" applyFont="1" applyFill="1" applyBorder="1" applyAlignment="1" applyProtection="1">
      <alignment horizontal="center" vertical="center"/>
      <protection hidden="1"/>
    </xf>
    <xf numFmtId="1" fontId="27" fillId="8" borderId="23" xfId="0" applyNumberFormat="1" applyFont="1" applyFill="1" applyBorder="1" applyAlignment="1" applyProtection="1">
      <alignment vertical="center"/>
      <protection hidden="1"/>
    </xf>
    <xf numFmtId="0" fontId="3" fillId="8" borderId="130" xfId="0" applyFont="1" applyFill="1" applyBorder="1" applyAlignment="1" applyProtection="1">
      <alignment horizontal="left" vertical="center"/>
      <protection hidden="1"/>
    </xf>
    <xf numFmtId="0" fontId="3" fillId="8" borderId="131" xfId="0" applyFont="1" applyFill="1" applyBorder="1" applyAlignment="1" applyProtection="1">
      <alignment horizontal="left" vertical="center"/>
      <protection hidden="1"/>
    </xf>
    <xf numFmtId="0" fontId="3" fillId="8" borderId="132" xfId="0" applyFont="1" applyFill="1" applyBorder="1" applyAlignment="1" applyProtection="1">
      <alignment horizontal="left" vertical="center"/>
      <protection hidden="1"/>
    </xf>
    <xf numFmtId="1" fontId="3" fillId="8" borderId="133" xfId="0" applyNumberFormat="1" applyFont="1" applyFill="1" applyBorder="1" applyAlignment="1" applyProtection="1">
      <alignment horizontal="center" vertical="center"/>
      <protection hidden="1"/>
    </xf>
    <xf numFmtId="1" fontId="3" fillId="8" borderId="132" xfId="0" applyNumberFormat="1" applyFont="1" applyFill="1" applyBorder="1" applyAlignment="1" applyProtection="1">
      <alignment horizontal="center" vertical="center"/>
      <protection hidden="1"/>
    </xf>
    <xf numFmtId="0" fontId="50" fillId="19" borderId="87" xfId="0" applyFont="1" applyFill="1" applyBorder="1" applyAlignment="1">
      <alignment horizontal="center" vertical="top"/>
    </xf>
    <xf numFmtId="0" fontId="50" fillId="19" borderId="87" xfId="0" applyFont="1" applyFill="1" applyBorder="1" applyAlignment="1">
      <alignment horizontal="center" vertical="top" wrapText="1"/>
    </xf>
    <xf numFmtId="0" fontId="53" fillId="19" borderId="87" xfId="0" applyFont="1" applyFill="1" applyBorder="1" applyAlignment="1">
      <alignment horizontal="center" vertical="top" wrapText="1"/>
    </xf>
    <xf numFmtId="0" fontId="56" fillId="21" borderId="87" xfId="0" applyFont="1" applyFill="1" applyBorder="1" applyAlignment="1">
      <alignment horizontal="center"/>
    </xf>
    <xf numFmtId="0" fontId="50" fillId="19" borderId="87" xfId="0" applyFont="1" applyFill="1" applyBorder="1" applyAlignment="1">
      <alignment horizontal="center" vertical="center" wrapText="1"/>
    </xf>
    <xf numFmtId="0" fontId="59" fillId="18" borderId="87" xfId="0" applyFont="1" applyFill="1" applyBorder="1" applyAlignment="1">
      <alignment horizontal="center" vertical="top" wrapText="1"/>
    </xf>
    <xf numFmtId="0" fontId="59" fillId="19" borderId="87" xfId="0" applyFont="1" applyFill="1" applyBorder="1" applyAlignment="1">
      <alignment horizontal="center" vertical="center" wrapText="1"/>
    </xf>
    <xf numFmtId="0" fontId="56" fillId="13" borderId="87" xfId="0" applyFont="1" applyFill="1" applyBorder="1" applyAlignment="1">
      <alignment horizontal="center"/>
    </xf>
    <xf numFmtId="0" fontId="59" fillId="15" borderId="87" xfId="0" applyFont="1" applyFill="1" applyBorder="1" applyAlignment="1">
      <alignment horizontal="center" vertical="top" wrapText="1"/>
    </xf>
    <xf numFmtId="0" fontId="59" fillId="16" borderId="87" xfId="0" applyFont="1" applyFill="1" applyBorder="1" applyAlignment="1">
      <alignment horizontal="center" vertical="top" wrapText="1"/>
    </xf>
    <xf numFmtId="0" fontId="53" fillId="17" borderId="87" xfId="0" applyFont="1" applyFill="1" applyBorder="1" applyAlignment="1">
      <alignment horizontal="center" vertical="top" wrapText="1"/>
    </xf>
    <xf numFmtId="3" fontId="34" fillId="23" borderId="87" xfId="0" applyNumberFormat="1" applyFont="1" applyFill="1" applyBorder="1" applyAlignment="1" applyProtection="1">
      <alignment horizontal="center" vertical="center"/>
      <protection hidden="1"/>
    </xf>
    <xf numFmtId="3" fontId="34" fillId="23" borderId="87" xfId="0" applyNumberFormat="1" applyFont="1" applyFill="1" applyBorder="1" applyAlignment="1" applyProtection="1">
      <alignment horizontal="left" vertical="center"/>
      <protection hidden="1"/>
    </xf>
    <xf numFmtId="3" fontId="34" fillId="23" borderId="137" xfId="0" applyNumberFormat="1" applyFont="1" applyFill="1" applyBorder="1" applyAlignment="1" applyProtection="1">
      <alignment horizontal="center" vertical="center"/>
      <protection hidden="1"/>
    </xf>
    <xf numFmtId="3" fontId="34" fillId="23" borderId="112" xfId="0" applyNumberFormat="1" applyFont="1" applyFill="1" applyBorder="1" applyAlignment="1" applyProtection="1">
      <alignment horizontal="center" vertical="center"/>
      <protection hidden="1"/>
    </xf>
    <xf numFmtId="3" fontId="34" fillId="23" borderId="146" xfId="0" applyNumberFormat="1" applyFont="1" applyFill="1" applyBorder="1" applyAlignment="1" applyProtection="1">
      <alignment horizontal="center" vertical="center"/>
      <protection hidden="1"/>
    </xf>
    <xf numFmtId="4" fontId="70" fillId="22" borderId="95" xfId="0" applyNumberFormat="1" applyFont="1" applyFill="1" applyBorder="1" applyAlignment="1" applyProtection="1">
      <alignment horizontal="left" vertical="center" wrapText="1"/>
      <protection locked="0"/>
    </xf>
    <xf numFmtId="4" fontId="70" fillId="22" borderId="106" xfId="0" applyNumberFormat="1" applyFont="1" applyFill="1" applyBorder="1" applyAlignment="1" applyProtection="1">
      <alignment horizontal="left" vertical="center" wrapText="1"/>
      <protection locked="0"/>
    </xf>
    <xf numFmtId="4" fontId="70" fillId="22" borderId="102" xfId="0" applyNumberFormat="1" applyFont="1" applyFill="1" applyBorder="1" applyAlignment="1" applyProtection="1">
      <alignment horizontal="left" vertical="center" wrapText="1"/>
      <protection locked="0"/>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15</xdr:col>
      <xdr:colOff>860612</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2541624" y="193189"/>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16</xdr:col>
      <xdr:colOff>8965</xdr:colOff>
      <xdr:row>1</xdr:row>
      <xdr:rowOff>22860</xdr:rowOff>
    </xdr:from>
    <xdr:ext cx="1388974" cy="708660"/>
    <xdr:pic>
      <xdr:nvPicPr>
        <xdr:cNvPr id="2" name="image6.png" title="Image">
          <a:extLst>
            <a:ext uri="{FF2B5EF4-FFF2-40B4-BE49-F238E27FC236}">
              <a16:creationId xmlns:a16="http://schemas.microsoft.com/office/drawing/2014/main" id="{90989A39-6F74-456F-B703-93ED83AD0FE6}"/>
            </a:ext>
          </a:extLst>
        </xdr:cNvPr>
        <xdr:cNvPicPr preferRelativeResize="0"/>
      </xdr:nvPicPr>
      <xdr:blipFill>
        <a:blip xmlns:r="http://schemas.openxmlformats.org/officeDocument/2006/relationships" r:embed="rId1" cstate="print"/>
        <a:stretch>
          <a:fillRect/>
        </a:stretch>
      </xdr:blipFill>
      <xdr:spPr>
        <a:xfrm>
          <a:off x="12613341" y="193189"/>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D933C5AF-D57B-4DAE-B1F6-910757E7ACC2}"/>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15</xdr:col>
      <xdr:colOff>887505</xdr:colOff>
      <xdr:row>1</xdr:row>
      <xdr:rowOff>22860</xdr:rowOff>
    </xdr:from>
    <xdr:ext cx="1388974" cy="708660"/>
    <xdr:pic>
      <xdr:nvPicPr>
        <xdr:cNvPr id="2" name="image6.png" title="Image">
          <a:extLst>
            <a:ext uri="{FF2B5EF4-FFF2-40B4-BE49-F238E27FC236}">
              <a16:creationId xmlns:a16="http://schemas.microsoft.com/office/drawing/2014/main" id="{F5FA93DE-8C24-46D9-85DE-FE0BC17E618E}"/>
            </a:ext>
          </a:extLst>
        </xdr:cNvPr>
        <xdr:cNvPicPr preferRelativeResize="0"/>
      </xdr:nvPicPr>
      <xdr:blipFill>
        <a:blip xmlns:r="http://schemas.openxmlformats.org/officeDocument/2006/relationships" r:embed="rId1" cstate="print"/>
        <a:stretch>
          <a:fillRect/>
        </a:stretch>
      </xdr:blipFill>
      <xdr:spPr>
        <a:xfrm>
          <a:off x="12568517" y="193189"/>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23781856-E9A1-4650-ABB2-9A6F920F187C}"/>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9</xdr:col>
      <xdr:colOff>447675</xdr:colOff>
      <xdr:row>2</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3</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zoomScale="85" zoomScaleNormal="85" workbookViewId="0">
      <pane ySplit="5" topLeftCell="A22" activePane="bottomLeft" state="frozen"/>
      <selection pane="bottomLeft" activeCell="B38" sqref="B38:H40"/>
    </sheetView>
  </sheetViews>
  <sheetFormatPr defaultColWidth="12.6640625" defaultRowHeight="15.75" customHeight="1"/>
  <cols>
    <col min="1" max="2" width="3.88671875" customWidth="1"/>
    <col min="3" max="3" width="11.33203125" customWidth="1"/>
    <col min="4" max="4" width="11"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323" t="s">
        <v>0</v>
      </c>
      <c r="B1" s="324"/>
      <c r="C1" s="324"/>
      <c r="D1" s="324"/>
      <c r="E1" s="324"/>
      <c r="F1" s="324"/>
      <c r="G1" s="324"/>
      <c r="H1" s="324"/>
      <c r="I1" s="324"/>
      <c r="J1" s="324"/>
      <c r="K1" s="324"/>
      <c r="L1" s="324"/>
      <c r="M1" s="324"/>
      <c r="N1" s="324"/>
      <c r="O1" s="324"/>
      <c r="P1" s="324"/>
      <c r="Q1" s="324"/>
      <c r="R1" s="324"/>
      <c r="S1" s="324"/>
      <c r="T1" s="324"/>
      <c r="U1" s="325"/>
      <c r="V1" s="1"/>
      <c r="W1" s="1"/>
      <c r="X1" s="1"/>
      <c r="Y1" s="1"/>
      <c r="Z1" s="1"/>
      <c r="AA1" s="1"/>
      <c r="AB1" s="1"/>
      <c r="AC1" s="1"/>
      <c r="AD1" s="1"/>
    </row>
    <row r="2" spans="1:30" ht="13.8">
      <c r="A2" s="326"/>
      <c r="B2" s="327"/>
      <c r="C2" s="327"/>
      <c r="D2" s="327"/>
      <c r="E2" s="327"/>
      <c r="F2" s="327"/>
      <c r="G2" s="327"/>
      <c r="H2" s="327"/>
      <c r="I2" s="327"/>
      <c r="J2" s="327"/>
      <c r="K2" s="327"/>
      <c r="L2" s="327"/>
      <c r="M2" s="327"/>
      <c r="N2" s="327"/>
      <c r="O2" s="327"/>
      <c r="P2" s="327"/>
      <c r="Q2" s="327"/>
      <c r="R2" s="327"/>
      <c r="S2" s="327"/>
      <c r="T2" s="327"/>
      <c r="U2" s="328"/>
      <c r="V2" s="1"/>
      <c r="W2" s="1"/>
      <c r="X2" s="1"/>
      <c r="Y2" s="1"/>
      <c r="Z2" s="1"/>
      <c r="AA2" s="1"/>
      <c r="AB2" s="1"/>
      <c r="AC2" s="1"/>
      <c r="AD2" s="1"/>
    </row>
    <row r="3" spans="1:30" ht="13.8">
      <c r="A3" s="326"/>
      <c r="B3" s="327"/>
      <c r="C3" s="327"/>
      <c r="D3" s="327"/>
      <c r="E3" s="327"/>
      <c r="F3" s="327"/>
      <c r="G3" s="327"/>
      <c r="H3" s="327"/>
      <c r="I3" s="327"/>
      <c r="J3" s="327"/>
      <c r="K3" s="327"/>
      <c r="L3" s="327"/>
      <c r="M3" s="327"/>
      <c r="N3" s="327"/>
      <c r="O3" s="327"/>
      <c r="P3" s="327"/>
      <c r="Q3" s="327"/>
      <c r="R3" s="327"/>
      <c r="S3" s="327"/>
      <c r="T3" s="327"/>
      <c r="U3" s="328"/>
      <c r="V3" s="1"/>
      <c r="W3" s="1"/>
      <c r="X3" s="1"/>
      <c r="Y3" s="1"/>
      <c r="Z3" s="1"/>
      <c r="AA3" s="1"/>
      <c r="AB3" s="1"/>
      <c r="AC3" s="1"/>
      <c r="AD3" s="1"/>
    </row>
    <row r="4" spans="1:30" ht="13.8">
      <c r="A4" s="326"/>
      <c r="B4" s="327"/>
      <c r="C4" s="327"/>
      <c r="D4" s="327"/>
      <c r="E4" s="327"/>
      <c r="F4" s="327"/>
      <c r="G4" s="327"/>
      <c r="H4" s="327"/>
      <c r="I4" s="327"/>
      <c r="J4" s="327"/>
      <c r="K4" s="327"/>
      <c r="L4" s="327"/>
      <c r="M4" s="327"/>
      <c r="N4" s="327"/>
      <c r="O4" s="327"/>
      <c r="P4" s="327"/>
      <c r="Q4" s="327"/>
      <c r="R4" s="327"/>
      <c r="S4" s="327"/>
      <c r="T4" s="327"/>
      <c r="U4" s="328"/>
      <c r="V4" s="1"/>
      <c r="W4" s="1"/>
      <c r="X4" s="1"/>
      <c r="Y4" s="1"/>
      <c r="Z4" s="1"/>
      <c r="AA4" s="1"/>
      <c r="AB4" s="1"/>
      <c r="AC4" s="1"/>
      <c r="AD4" s="1"/>
    </row>
    <row r="5" spans="1:30" ht="13.8">
      <c r="A5" s="329"/>
      <c r="B5" s="330"/>
      <c r="C5" s="330"/>
      <c r="D5" s="330"/>
      <c r="E5" s="330"/>
      <c r="F5" s="330"/>
      <c r="G5" s="330"/>
      <c r="H5" s="330"/>
      <c r="I5" s="330"/>
      <c r="J5" s="330"/>
      <c r="K5" s="330"/>
      <c r="L5" s="330"/>
      <c r="M5" s="330"/>
      <c r="N5" s="330"/>
      <c r="O5" s="330"/>
      <c r="P5" s="330"/>
      <c r="Q5" s="330"/>
      <c r="R5" s="330"/>
      <c r="S5" s="330"/>
      <c r="T5" s="330"/>
      <c r="U5" s="331"/>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332" t="s">
        <v>92</v>
      </c>
      <c r="C7" s="333"/>
      <c r="D7" s="333"/>
      <c r="E7" s="333"/>
      <c r="F7" s="333"/>
      <c r="G7" s="333"/>
      <c r="H7" s="334"/>
      <c r="I7" s="1"/>
      <c r="J7" s="332" t="s">
        <v>4</v>
      </c>
      <c r="K7" s="333"/>
      <c r="L7" s="333"/>
      <c r="M7" s="333"/>
      <c r="N7" s="333"/>
      <c r="O7" s="333"/>
      <c r="P7" s="333"/>
      <c r="Q7" s="333"/>
      <c r="R7" s="333"/>
      <c r="S7" s="333"/>
      <c r="T7" s="334"/>
      <c r="U7" s="1"/>
      <c r="V7" s="1"/>
      <c r="W7" s="1"/>
      <c r="X7" s="1"/>
      <c r="Y7" s="1"/>
      <c r="Z7" s="1"/>
      <c r="AA7" s="1"/>
      <c r="AB7" s="1"/>
      <c r="AC7" s="1"/>
      <c r="AD7" s="1"/>
    </row>
    <row r="8" spans="1:30" ht="13.8">
      <c r="A8" s="1"/>
      <c r="B8" s="335"/>
      <c r="C8" s="336"/>
      <c r="D8" s="336"/>
      <c r="E8" s="336"/>
      <c r="F8" s="336"/>
      <c r="G8" s="336"/>
      <c r="H8" s="337"/>
      <c r="I8" s="1"/>
      <c r="J8" s="335"/>
      <c r="K8" s="336"/>
      <c r="L8" s="336"/>
      <c r="M8" s="336"/>
      <c r="N8" s="336"/>
      <c r="O8" s="336"/>
      <c r="P8" s="336"/>
      <c r="Q8" s="336"/>
      <c r="R8" s="336"/>
      <c r="S8" s="336"/>
      <c r="T8" s="337"/>
      <c r="U8" s="1"/>
      <c r="V8" s="1"/>
      <c r="W8" s="1"/>
      <c r="X8" s="1"/>
      <c r="Y8" s="1"/>
      <c r="Z8" s="1"/>
      <c r="AA8" s="1"/>
      <c r="AB8" s="1"/>
      <c r="AC8" s="1"/>
      <c r="AD8" s="1"/>
    </row>
    <row r="9" spans="1:30" ht="13.8">
      <c r="A9" s="1"/>
      <c r="B9" s="2"/>
      <c r="C9" s="3"/>
      <c r="D9" s="3"/>
      <c r="E9" s="3"/>
      <c r="F9" s="3"/>
      <c r="G9" s="3"/>
      <c r="H9" s="4"/>
      <c r="I9" s="1"/>
      <c r="J9" s="2"/>
      <c r="K9" s="3"/>
      <c r="L9" s="3"/>
      <c r="M9" s="3"/>
      <c r="N9" s="3"/>
      <c r="O9" s="3"/>
      <c r="P9" s="3"/>
      <c r="Q9" s="3"/>
      <c r="R9" s="5"/>
      <c r="S9" s="5"/>
      <c r="T9" s="4"/>
      <c r="U9" s="1"/>
      <c r="V9" s="1"/>
      <c r="W9" s="1"/>
      <c r="X9" s="1"/>
      <c r="Y9" s="1"/>
      <c r="Z9" s="1"/>
      <c r="AA9" s="1"/>
      <c r="AB9" s="1"/>
      <c r="AC9" s="1"/>
      <c r="AD9" s="1"/>
    </row>
    <row r="10" spans="1:30" ht="13.8">
      <c r="A10" s="1"/>
      <c r="B10" s="2"/>
      <c r="C10" s="317" t="s">
        <v>2</v>
      </c>
      <c r="D10" s="318"/>
      <c r="E10" s="6" t="s">
        <v>8</v>
      </c>
      <c r="F10" s="338"/>
      <c r="G10" s="339"/>
      <c r="H10" s="4"/>
      <c r="I10" s="1"/>
      <c r="J10" s="2"/>
      <c r="K10" s="7" t="s">
        <v>10</v>
      </c>
      <c r="L10" s="8"/>
      <c r="M10" s="9" t="s">
        <v>11</v>
      </c>
      <c r="N10" s="9" t="s">
        <v>12</v>
      </c>
      <c r="O10" s="3"/>
      <c r="P10" s="7" t="s">
        <v>13</v>
      </c>
      <c r="Q10" s="10"/>
      <c r="R10" s="9" t="s">
        <v>11</v>
      </c>
      <c r="S10" s="9" t="s">
        <v>12</v>
      </c>
      <c r="T10" s="4"/>
      <c r="U10" s="1"/>
      <c r="V10" s="1"/>
      <c r="W10" s="1"/>
      <c r="X10" s="1"/>
      <c r="Y10" s="1"/>
      <c r="Z10" s="1"/>
      <c r="AA10" s="1"/>
      <c r="AB10" s="1"/>
      <c r="AC10" s="1"/>
      <c r="AD10" s="1"/>
    </row>
    <row r="11" spans="1:30" ht="13.8">
      <c r="A11" s="1"/>
      <c r="B11" s="2"/>
      <c r="C11" s="317" t="s">
        <v>5</v>
      </c>
      <c r="D11" s="318"/>
      <c r="E11" s="6" t="s">
        <v>8</v>
      </c>
      <c r="F11" s="11"/>
      <c r="G11" s="12"/>
      <c r="H11" s="4"/>
      <c r="I11" s="1"/>
      <c r="J11" s="2"/>
      <c r="K11" s="30">
        <v>1</v>
      </c>
      <c r="L11" s="13"/>
      <c r="M11" s="171"/>
      <c r="N11" s="172"/>
      <c r="O11" s="3"/>
      <c r="P11" s="30">
        <v>1</v>
      </c>
      <c r="Q11" s="13"/>
      <c r="R11" s="171"/>
      <c r="S11" s="172"/>
      <c r="T11" s="4"/>
      <c r="U11" s="1"/>
      <c r="V11" s="1"/>
      <c r="W11" s="1"/>
      <c r="X11" s="1"/>
      <c r="Y11" s="1"/>
      <c r="Z11" s="1"/>
      <c r="AA11" s="1"/>
      <c r="AB11" s="1"/>
      <c r="AC11" s="1"/>
      <c r="AD11" s="1"/>
    </row>
    <row r="12" spans="1:30" ht="13.8">
      <c r="A12" s="1"/>
      <c r="B12" s="2"/>
      <c r="C12" s="317" t="s">
        <v>16</v>
      </c>
      <c r="D12" s="318"/>
      <c r="E12" s="6" t="s">
        <v>8</v>
      </c>
      <c r="F12" s="11"/>
      <c r="G12" s="12"/>
      <c r="H12" s="4"/>
      <c r="I12" s="1"/>
      <c r="J12" s="2"/>
      <c r="K12" s="30">
        <v>2</v>
      </c>
      <c r="L12" s="34"/>
      <c r="M12" s="171"/>
      <c r="N12" s="172"/>
      <c r="O12" s="3"/>
      <c r="P12" s="30">
        <v>2</v>
      </c>
      <c r="Q12" s="13"/>
      <c r="R12" s="171"/>
      <c r="S12" s="172"/>
      <c r="T12" s="4"/>
      <c r="U12" s="1"/>
      <c r="V12" s="1"/>
      <c r="W12" s="1"/>
      <c r="X12" s="1"/>
      <c r="Y12" s="1"/>
      <c r="Z12" s="1"/>
      <c r="AA12" s="1"/>
      <c r="AB12" s="1"/>
      <c r="AC12" s="1"/>
      <c r="AD12" s="1"/>
    </row>
    <row r="13" spans="1:30" ht="13.8">
      <c r="A13" s="1"/>
      <c r="B13" s="2"/>
      <c r="C13" s="317" t="s">
        <v>18</v>
      </c>
      <c r="D13" s="318"/>
      <c r="E13" s="6" t="s">
        <v>8</v>
      </c>
      <c r="F13" s="11"/>
      <c r="G13" s="12"/>
      <c r="H13" s="4"/>
      <c r="I13" s="1"/>
      <c r="J13" s="2"/>
      <c r="K13" s="30">
        <v>3</v>
      </c>
      <c r="L13" s="34"/>
      <c r="M13" s="171"/>
      <c r="N13" s="172"/>
      <c r="O13" s="3"/>
      <c r="P13" s="30">
        <v>3</v>
      </c>
      <c r="Q13" s="13"/>
      <c r="R13" s="171"/>
      <c r="S13" s="172"/>
      <c r="T13" s="4"/>
      <c r="U13" s="1"/>
      <c r="V13" s="1"/>
      <c r="W13" s="1"/>
      <c r="X13" s="1"/>
      <c r="Y13" s="1"/>
      <c r="Z13" s="1"/>
      <c r="AA13" s="1"/>
      <c r="AB13" s="1"/>
      <c r="AC13" s="1"/>
      <c r="AD13" s="1"/>
    </row>
    <row r="14" spans="1:30" ht="13.8">
      <c r="A14" s="1"/>
      <c r="B14" s="2"/>
      <c r="C14" s="3"/>
      <c r="D14" s="3"/>
      <c r="E14" s="3"/>
      <c r="F14" s="3"/>
      <c r="G14" s="3"/>
      <c r="H14" s="4"/>
      <c r="I14" s="1"/>
      <c r="J14" s="2"/>
      <c r="K14" s="30">
        <v>4</v>
      </c>
      <c r="L14" s="34"/>
      <c r="M14" s="171"/>
      <c r="N14" s="170"/>
      <c r="O14" s="3"/>
      <c r="P14" s="30">
        <v>4</v>
      </c>
      <c r="Q14" s="13"/>
      <c r="R14" s="174"/>
      <c r="S14" s="173"/>
      <c r="T14" s="4"/>
      <c r="U14" s="1"/>
      <c r="V14" s="1"/>
      <c r="W14" s="1"/>
      <c r="X14" s="1"/>
      <c r="Y14" s="1"/>
      <c r="Z14" s="1"/>
      <c r="AA14" s="1"/>
      <c r="AB14" s="1"/>
      <c r="AC14" s="1"/>
      <c r="AD14" s="1"/>
    </row>
    <row r="15" spans="1:30" ht="13.8">
      <c r="A15" s="1"/>
      <c r="B15" s="2"/>
      <c r="C15" s="317" t="s">
        <v>7</v>
      </c>
      <c r="D15" s="318"/>
      <c r="E15" s="6" t="s">
        <v>8</v>
      </c>
      <c r="F15" s="14"/>
      <c r="G15" s="31"/>
      <c r="H15" s="4"/>
      <c r="I15" s="1"/>
      <c r="J15" s="2"/>
      <c r="K15" s="30">
        <v>5</v>
      </c>
      <c r="L15" s="34"/>
      <c r="M15" s="171"/>
      <c r="N15" s="170"/>
      <c r="O15" s="3"/>
      <c r="P15" s="30">
        <v>5</v>
      </c>
      <c r="Q15" s="13"/>
      <c r="R15" s="174"/>
      <c r="S15" s="173"/>
      <c r="T15" s="4"/>
      <c r="U15" s="1"/>
      <c r="V15" s="1"/>
      <c r="W15" s="1"/>
      <c r="X15" s="1"/>
      <c r="Y15" s="1"/>
      <c r="Z15" s="1"/>
      <c r="AA15" s="1"/>
      <c r="AB15" s="1"/>
      <c r="AC15" s="1"/>
      <c r="AD15" s="1"/>
    </row>
    <row r="16" spans="1:30" ht="13.8">
      <c r="A16" s="1"/>
      <c r="B16" s="2"/>
      <c r="C16" s="319" t="s">
        <v>6</v>
      </c>
      <c r="D16" s="320"/>
      <c r="E16" s="357" t="s">
        <v>8</v>
      </c>
      <c r="F16" s="349"/>
      <c r="G16" s="350"/>
      <c r="H16" s="4"/>
      <c r="I16" s="1"/>
      <c r="J16" s="2"/>
      <c r="K16" s="30">
        <v>6</v>
      </c>
      <c r="L16" s="13"/>
      <c r="M16" s="171"/>
      <c r="N16" s="170"/>
      <c r="O16" s="3"/>
      <c r="P16" s="30">
        <v>6</v>
      </c>
      <c r="Q16" s="13"/>
      <c r="R16" s="174"/>
      <c r="S16" s="173"/>
      <c r="T16" s="4"/>
      <c r="U16" s="1"/>
      <c r="V16" s="1"/>
      <c r="W16" s="1"/>
      <c r="X16" s="1"/>
      <c r="Y16" s="1"/>
      <c r="Z16" s="1"/>
      <c r="AA16" s="1"/>
      <c r="AB16" s="1"/>
      <c r="AC16" s="1"/>
      <c r="AD16" s="1"/>
    </row>
    <row r="17" spans="1:30" ht="13.8">
      <c r="A17" s="1"/>
      <c r="B17" s="2"/>
      <c r="C17" s="321"/>
      <c r="D17" s="322"/>
      <c r="E17" s="358"/>
      <c r="F17" s="351"/>
      <c r="G17" s="352"/>
      <c r="H17" s="4"/>
      <c r="I17" s="1"/>
      <c r="J17" s="2"/>
      <c r="K17" s="30">
        <v>7</v>
      </c>
      <c r="L17" s="13"/>
      <c r="M17" s="171"/>
      <c r="N17" s="170"/>
      <c r="O17" s="3"/>
      <c r="P17" s="30">
        <v>7</v>
      </c>
      <c r="Q17" s="13"/>
      <c r="R17" s="174"/>
      <c r="S17" s="173"/>
      <c r="T17" s="4"/>
      <c r="U17" s="1"/>
      <c r="V17" s="1"/>
      <c r="W17" s="1"/>
      <c r="X17" s="1"/>
      <c r="Y17" s="1"/>
      <c r="Z17" s="1"/>
      <c r="AA17" s="1"/>
      <c r="AB17" s="1"/>
      <c r="AC17" s="1"/>
      <c r="AD17" s="1"/>
    </row>
    <row r="18" spans="1:30" ht="13.8">
      <c r="A18" s="1"/>
      <c r="B18" s="2"/>
      <c r="C18" s="317" t="s">
        <v>9</v>
      </c>
      <c r="D18" s="318"/>
      <c r="E18" s="6" t="s">
        <v>8</v>
      </c>
      <c r="F18" s="356"/>
      <c r="G18" s="339"/>
      <c r="H18" s="4"/>
      <c r="I18" s="1"/>
      <c r="J18" s="2"/>
      <c r="K18" s="30">
        <v>8</v>
      </c>
      <c r="L18" s="13"/>
      <c r="M18" s="171"/>
      <c r="N18" s="170"/>
      <c r="O18" s="3"/>
      <c r="P18" s="30">
        <v>8</v>
      </c>
      <c r="Q18" s="13"/>
      <c r="R18" s="174"/>
      <c r="S18" s="173"/>
      <c r="T18" s="4"/>
      <c r="U18" s="1"/>
      <c r="V18" s="1"/>
      <c r="W18" s="1"/>
      <c r="X18" s="1"/>
      <c r="Y18" s="1"/>
      <c r="Z18" s="1"/>
      <c r="AA18" s="1"/>
      <c r="AB18" s="1"/>
      <c r="AC18" s="1"/>
      <c r="AD18" s="1"/>
    </row>
    <row r="19" spans="1:30" ht="13.8">
      <c r="A19" s="1"/>
      <c r="B19" s="2"/>
      <c r="C19" s="317" t="s">
        <v>25</v>
      </c>
      <c r="D19" s="318"/>
      <c r="E19" s="6" t="s">
        <v>8</v>
      </c>
      <c r="F19" s="338"/>
      <c r="G19" s="339"/>
      <c r="H19" s="4"/>
      <c r="I19" s="1"/>
      <c r="J19" s="2"/>
      <c r="K19" s="30">
        <v>9</v>
      </c>
      <c r="L19" s="13"/>
      <c r="M19" s="171"/>
      <c r="N19" s="170"/>
      <c r="O19" s="3"/>
      <c r="P19" s="30">
        <v>9</v>
      </c>
      <c r="Q19" s="13"/>
      <c r="R19" s="174"/>
      <c r="S19" s="173"/>
      <c r="T19" s="4"/>
      <c r="U19" s="1"/>
      <c r="V19" s="1"/>
      <c r="W19" s="1"/>
      <c r="X19" s="1"/>
      <c r="Y19" s="1"/>
      <c r="Z19" s="1"/>
      <c r="AA19" s="1"/>
      <c r="AB19" s="1"/>
      <c r="AC19" s="1"/>
      <c r="AD19" s="1"/>
    </row>
    <row r="20" spans="1:30" ht="14.4" thickBot="1">
      <c r="A20" s="1"/>
      <c r="B20" s="15"/>
      <c r="C20" s="16"/>
      <c r="D20" s="16"/>
      <c r="E20" s="16"/>
      <c r="F20" s="16"/>
      <c r="G20" s="16"/>
      <c r="H20" s="17"/>
      <c r="I20" s="1"/>
      <c r="J20" s="2"/>
      <c r="K20" s="30">
        <v>10</v>
      </c>
      <c r="L20" s="13"/>
      <c r="M20" s="171"/>
      <c r="N20" s="170"/>
      <c r="O20" s="3"/>
      <c r="P20" s="30">
        <v>10</v>
      </c>
      <c r="Q20" s="13"/>
      <c r="R20" s="174"/>
      <c r="S20" s="173"/>
      <c r="T20" s="4"/>
      <c r="U20" s="1"/>
      <c r="V20" s="1"/>
      <c r="W20" s="1"/>
      <c r="X20" s="1"/>
      <c r="Y20" s="1"/>
      <c r="Z20" s="1"/>
      <c r="AA20" s="1"/>
      <c r="AB20" s="1"/>
      <c r="AC20" s="1"/>
      <c r="AD20" s="1"/>
    </row>
    <row r="21" spans="1:30" ht="13.8">
      <c r="A21" s="18"/>
      <c r="B21" s="18"/>
      <c r="C21" s="18"/>
      <c r="D21" s="18"/>
      <c r="E21" s="18"/>
      <c r="F21" s="18"/>
      <c r="G21" s="18"/>
      <c r="H21" s="18"/>
      <c r="I21" s="1"/>
      <c r="J21" s="2"/>
      <c r="K21" s="30">
        <v>11</v>
      </c>
      <c r="L21" s="13"/>
      <c r="M21" s="171"/>
      <c r="N21" s="170"/>
      <c r="O21" s="3"/>
      <c r="P21" s="30">
        <v>11</v>
      </c>
      <c r="Q21" s="13"/>
      <c r="R21" s="174"/>
      <c r="S21" s="173"/>
      <c r="T21" s="4"/>
      <c r="U21" s="1"/>
      <c r="V21" s="1"/>
      <c r="W21" s="1"/>
      <c r="X21" s="1"/>
      <c r="Y21" s="1"/>
      <c r="Z21" s="1"/>
      <c r="AA21" s="1"/>
      <c r="AB21" s="1"/>
      <c r="AC21" s="1"/>
      <c r="AD21" s="1"/>
    </row>
    <row r="22" spans="1:30" ht="14.4" thickBot="1">
      <c r="A22" s="18"/>
      <c r="B22" s="18"/>
      <c r="C22" s="18"/>
      <c r="D22" s="18"/>
      <c r="E22" s="18"/>
      <c r="F22" s="18"/>
      <c r="G22" s="18"/>
      <c r="H22" s="18"/>
      <c r="I22" s="1"/>
      <c r="J22" s="2"/>
      <c r="K22" s="30">
        <v>12</v>
      </c>
      <c r="L22" s="13"/>
      <c r="M22" s="171"/>
      <c r="N22" s="170"/>
      <c r="O22" s="3"/>
      <c r="P22" s="30">
        <v>12</v>
      </c>
      <c r="Q22" s="13"/>
      <c r="R22" s="174"/>
      <c r="S22" s="173"/>
      <c r="T22" s="4"/>
      <c r="U22" s="1"/>
      <c r="V22" s="1"/>
      <c r="W22" s="1"/>
      <c r="X22" s="1"/>
      <c r="Y22" s="1"/>
      <c r="Z22" s="1"/>
      <c r="AA22" s="1"/>
      <c r="AB22" s="1"/>
      <c r="AC22" s="1"/>
      <c r="AD22" s="1"/>
    </row>
    <row r="23" spans="1:30" ht="13.8">
      <c r="A23" s="1"/>
      <c r="B23" s="332" t="s">
        <v>93</v>
      </c>
      <c r="C23" s="333"/>
      <c r="D23" s="333"/>
      <c r="E23" s="333"/>
      <c r="F23" s="333"/>
      <c r="G23" s="333"/>
      <c r="H23" s="334"/>
      <c r="I23" s="1"/>
      <c r="J23" s="2"/>
      <c r="K23" s="30">
        <v>13</v>
      </c>
      <c r="L23" s="13"/>
      <c r="M23" s="171"/>
      <c r="N23" s="170"/>
      <c r="O23" s="3"/>
      <c r="P23" s="30">
        <v>13</v>
      </c>
      <c r="Q23" s="13"/>
      <c r="R23" s="174"/>
      <c r="S23" s="173"/>
      <c r="T23" s="4"/>
      <c r="U23" s="1"/>
      <c r="V23" s="1"/>
      <c r="W23" s="1"/>
      <c r="X23" s="1"/>
      <c r="Y23" s="1"/>
      <c r="Z23" s="1"/>
      <c r="AA23" s="1"/>
      <c r="AB23" s="1"/>
      <c r="AC23" s="1"/>
      <c r="AD23" s="1"/>
    </row>
    <row r="24" spans="1:30" ht="13.8">
      <c r="A24" s="1"/>
      <c r="B24" s="335"/>
      <c r="C24" s="336"/>
      <c r="D24" s="336"/>
      <c r="E24" s="336"/>
      <c r="F24" s="336"/>
      <c r="G24" s="336"/>
      <c r="H24" s="337"/>
      <c r="I24" s="1"/>
      <c r="J24" s="2"/>
      <c r="K24" s="30">
        <v>14</v>
      </c>
      <c r="L24" s="13"/>
      <c r="M24" s="171"/>
      <c r="N24" s="170"/>
      <c r="O24" s="3"/>
      <c r="P24" s="30">
        <v>14</v>
      </c>
      <c r="Q24" s="13"/>
      <c r="R24" s="174"/>
      <c r="S24" s="173"/>
      <c r="T24" s="4"/>
      <c r="U24" s="1"/>
      <c r="V24" s="1"/>
      <c r="W24" s="1"/>
      <c r="X24" s="1"/>
      <c r="Y24" s="1"/>
      <c r="Z24" s="1"/>
      <c r="AA24" s="1"/>
      <c r="AB24" s="1"/>
      <c r="AC24" s="1"/>
      <c r="AD24" s="1"/>
    </row>
    <row r="25" spans="1:30" ht="13.8">
      <c r="A25" s="1"/>
      <c r="B25" s="2"/>
      <c r="C25" s="19"/>
      <c r="D25" s="19"/>
      <c r="E25" s="19"/>
      <c r="F25" s="19"/>
      <c r="G25" s="19"/>
      <c r="H25" s="4"/>
      <c r="I25" s="1"/>
      <c r="J25" s="2"/>
      <c r="K25" s="30">
        <v>15</v>
      </c>
      <c r="L25" s="13"/>
      <c r="M25" s="171"/>
      <c r="N25" s="170"/>
      <c r="O25" s="3"/>
      <c r="P25" s="30">
        <v>15</v>
      </c>
      <c r="Q25" s="13"/>
      <c r="R25" s="174"/>
      <c r="S25" s="173"/>
      <c r="T25" s="4"/>
      <c r="U25" s="1"/>
      <c r="V25" s="1"/>
      <c r="W25" s="1"/>
      <c r="X25" s="1"/>
      <c r="Y25" s="1"/>
      <c r="Z25" s="1"/>
      <c r="AA25" s="1"/>
      <c r="AB25" s="1"/>
      <c r="AC25" s="1"/>
      <c r="AD25" s="1"/>
    </row>
    <row r="26" spans="1:30" ht="13.8">
      <c r="A26" s="1"/>
      <c r="B26" s="20"/>
      <c r="C26" s="36" t="s">
        <v>17</v>
      </c>
      <c r="D26" s="21"/>
      <c r="E26" s="22" t="s">
        <v>8</v>
      </c>
      <c r="F26" s="353"/>
      <c r="G26" s="339"/>
      <c r="H26" s="23"/>
      <c r="I26" s="1"/>
      <c r="J26" s="2"/>
      <c r="K26" s="30">
        <v>16</v>
      </c>
      <c r="L26" s="13"/>
      <c r="M26" s="171"/>
      <c r="N26" s="170"/>
      <c r="O26" s="3"/>
      <c r="P26" s="30">
        <v>16</v>
      </c>
      <c r="Q26" s="13"/>
      <c r="R26" s="174"/>
      <c r="S26" s="173"/>
      <c r="T26" s="4"/>
      <c r="U26" s="1"/>
      <c r="V26" s="1"/>
      <c r="W26" s="1"/>
      <c r="X26" s="1"/>
      <c r="Y26" s="1"/>
      <c r="Z26" s="1"/>
      <c r="AA26" s="1"/>
      <c r="AB26" s="1"/>
      <c r="AC26" s="1"/>
      <c r="AD26" s="1"/>
    </row>
    <row r="27" spans="1:30" ht="14.4">
      <c r="A27" s="1"/>
      <c r="B27" s="20"/>
      <c r="C27" s="317" t="s">
        <v>15</v>
      </c>
      <c r="D27" s="355"/>
      <c r="E27" s="24" t="s">
        <v>8</v>
      </c>
      <c r="F27" s="33"/>
      <c r="G27" s="32" t="s">
        <v>110</v>
      </c>
      <c r="H27" s="23"/>
      <c r="I27" s="1"/>
      <c r="J27" s="2"/>
      <c r="K27" s="30">
        <v>17</v>
      </c>
      <c r="L27" s="13"/>
      <c r="M27" s="171"/>
      <c r="N27" s="170"/>
      <c r="O27" s="3"/>
      <c r="P27" s="30">
        <v>17</v>
      </c>
      <c r="Q27" s="13"/>
      <c r="R27" s="174"/>
      <c r="S27" s="173"/>
      <c r="T27" s="4"/>
      <c r="U27" s="1"/>
      <c r="V27" s="1"/>
      <c r="W27" s="1"/>
      <c r="X27" s="1"/>
      <c r="Y27" s="1"/>
      <c r="Z27" s="1"/>
      <c r="AA27" s="1"/>
      <c r="AB27" s="1"/>
      <c r="AC27" s="1"/>
      <c r="AD27" s="1"/>
    </row>
    <row r="28" spans="1:30" ht="13.8">
      <c r="A28" s="1"/>
      <c r="B28" s="20"/>
      <c r="C28" s="52" t="s">
        <v>115</v>
      </c>
      <c r="D28" s="26"/>
      <c r="E28" s="27" t="s">
        <v>8</v>
      </c>
      <c r="F28" s="353"/>
      <c r="G28" s="339"/>
      <c r="H28" s="23"/>
      <c r="I28" s="1"/>
      <c r="J28" s="2"/>
      <c r="K28" s="30">
        <v>18</v>
      </c>
      <c r="L28" s="13"/>
      <c r="M28" s="171"/>
      <c r="N28" s="170"/>
      <c r="O28" s="3"/>
      <c r="P28" s="30">
        <v>18</v>
      </c>
      <c r="Q28" s="13"/>
      <c r="R28" s="174"/>
      <c r="S28" s="173"/>
      <c r="T28" s="4"/>
      <c r="U28" s="1"/>
      <c r="V28" s="1"/>
      <c r="W28" s="1"/>
      <c r="X28" s="1"/>
      <c r="Y28" s="1"/>
      <c r="Z28" s="1"/>
      <c r="AA28" s="1"/>
      <c r="AB28" s="1"/>
      <c r="AC28" s="1"/>
      <c r="AD28" s="1"/>
    </row>
    <row r="29" spans="1:30" ht="13.8">
      <c r="A29" s="1"/>
      <c r="B29" s="2"/>
      <c r="C29" s="25" t="s">
        <v>19</v>
      </c>
      <c r="D29" s="26"/>
      <c r="E29" s="27" t="s">
        <v>8</v>
      </c>
      <c r="F29" s="353"/>
      <c r="G29" s="339"/>
      <c r="H29" s="4"/>
      <c r="I29" s="1"/>
      <c r="J29" s="2"/>
      <c r="K29" s="30">
        <v>19</v>
      </c>
      <c r="L29" s="13"/>
      <c r="M29" s="171"/>
      <c r="N29" s="170"/>
      <c r="O29" s="3"/>
      <c r="P29" s="30">
        <v>19</v>
      </c>
      <c r="Q29" s="13"/>
      <c r="R29" s="174"/>
      <c r="S29" s="173"/>
      <c r="T29" s="4"/>
      <c r="U29" s="1"/>
      <c r="V29" s="1"/>
      <c r="W29" s="1"/>
      <c r="X29" s="1"/>
      <c r="Y29" s="1"/>
      <c r="Z29" s="1"/>
      <c r="AA29" s="1"/>
      <c r="AB29" s="1"/>
      <c r="AC29" s="1"/>
      <c r="AD29" s="1"/>
    </row>
    <row r="30" spans="1:30" ht="13.8">
      <c r="A30" s="1"/>
      <c r="B30" s="48"/>
      <c r="C30" s="45"/>
      <c r="D30" s="46"/>
      <c r="E30" s="46"/>
      <c r="F30" s="46"/>
      <c r="G30" s="47"/>
      <c r="H30" s="49"/>
      <c r="I30" s="1"/>
      <c r="J30" s="2"/>
      <c r="K30" s="30">
        <v>20</v>
      </c>
      <c r="L30" s="13"/>
      <c r="M30" s="171"/>
      <c r="N30" s="170"/>
      <c r="O30" s="3"/>
      <c r="P30" s="30">
        <v>20</v>
      </c>
      <c r="Q30" s="13"/>
      <c r="R30" s="174"/>
      <c r="S30" s="173"/>
      <c r="T30" s="4"/>
      <c r="U30" s="1"/>
      <c r="V30" s="1"/>
      <c r="W30" s="1"/>
      <c r="X30" s="1"/>
      <c r="Y30" s="1"/>
      <c r="Z30" s="1"/>
      <c r="AA30" s="1"/>
      <c r="AB30" s="1"/>
      <c r="AC30" s="1"/>
      <c r="AD30" s="1"/>
    </row>
    <row r="31" spans="1:30" ht="15.75" customHeight="1">
      <c r="A31" s="1"/>
      <c r="B31" s="48"/>
      <c r="C31" s="354" t="s">
        <v>94</v>
      </c>
      <c r="D31" s="354"/>
      <c r="E31" s="354"/>
      <c r="F31" s="354"/>
      <c r="G31" s="354"/>
      <c r="H31" s="49"/>
      <c r="I31" s="1"/>
      <c r="J31" s="2"/>
      <c r="K31" s="30">
        <v>21</v>
      </c>
      <c r="L31" s="13"/>
      <c r="M31" s="171"/>
      <c r="N31" s="170"/>
      <c r="O31" s="3"/>
      <c r="P31" s="30">
        <v>21</v>
      </c>
      <c r="Q31" s="13"/>
      <c r="R31" s="174"/>
      <c r="S31" s="173"/>
      <c r="T31" s="4"/>
      <c r="U31" s="1"/>
      <c r="V31" s="1"/>
      <c r="W31" s="1"/>
      <c r="X31" s="1"/>
      <c r="Y31" s="1"/>
      <c r="Z31" s="1"/>
      <c r="AA31" s="1"/>
      <c r="AB31" s="1"/>
      <c r="AC31" s="1"/>
      <c r="AD31" s="1"/>
    </row>
    <row r="32" spans="1:30" ht="13.8">
      <c r="A32" s="1"/>
      <c r="B32" s="48"/>
      <c r="C32" s="354"/>
      <c r="D32" s="354"/>
      <c r="E32" s="354"/>
      <c r="F32" s="354"/>
      <c r="G32" s="354"/>
      <c r="H32" s="49"/>
      <c r="I32" s="1"/>
      <c r="J32" s="2"/>
      <c r="K32" s="30">
        <v>22</v>
      </c>
      <c r="L32" s="13"/>
      <c r="M32" s="171"/>
      <c r="N32" s="170"/>
      <c r="O32" s="3"/>
      <c r="P32" s="30">
        <v>22</v>
      </c>
      <c r="Q32" s="13"/>
      <c r="R32" s="174"/>
      <c r="S32" s="173"/>
      <c r="T32" s="4"/>
      <c r="U32" s="1"/>
      <c r="V32" s="1"/>
      <c r="W32" s="1"/>
      <c r="X32" s="1"/>
      <c r="Y32" s="1"/>
      <c r="Z32" s="1"/>
      <c r="AA32" s="1"/>
      <c r="AB32" s="1"/>
      <c r="AC32" s="1"/>
      <c r="AD32" s="1"/>
    </row>
    <row r="33" spans="1:30" ht="13.8" customHeight="1">
      <c r="A33" s="1"/>
      <c r="B33" s="50"/>
      <c r="C33" s="354"/>
      <c r="D33" s="354"/>
      <c r="E33" s="354"/>
      <c r="F33" s="354"/>
      <c r="G33" s="354"/>
      <c r="H33" s="51"/>
      <c r="I33" s="1"/>
      <c r="J33" s="2"/>
      <c r="K33" s="30">
        <v>23</v>
      </c>
      <c r="L33" s="13"/>
      <c r="M33" s="171"/>
      <c r="N33" s="170"/>
      <c r="O33" s="3"/>
      <c r="P33" s="30">
        <v>23</v>
      </c>
      <c r="Q33" s="13"/>
      <c r="R33" s="174"/>
      <c r="S33" s="173"/>
      <c r="T33" s="4"/>
      <c r="U33" s="1"/>
      <c r="V33" s="1"/>
      <c r="W33" s="1"/>
      <c r="X33" s="1"/>
      <c r="Y33" s="1"/>
      <c r="Z33" s="1"/>
      <c r="AA33" s="1"/>
      <c r="AB33" s="1"/>
      <c r="AC33" s="1"/>
      <c r="AD33" s="1"/>
    </row>
    <row r="34" spans="1:30" ht="13.8">
      <c r="A34" s="1"/>
      <c r="B34" s="50"/>
      <c r="C34" s="354"/>
      <c r="D34" s="354"/>
      <c r="E34" s="354"/>
      <c r="F34" s="354"/>
      <c r="G34" s="354"/>
      <c r="H34" s="51"/>
      <c r="I34" s="1"/>
      <c r="J34" s="2"/>
      <c r="K34" s="30">
        <v>24</v>
      </c>
      <c r="L34" s="13"/>
      <c r="M34" s="171"/>
      <c r="N34" s="170"/>
      <c r="O34" s="3"/>
      <c r="P34" s="30">
        <v>24</v>
      </c>
      <c r="Q34" s="13"/>
      <c r="R34" s="174"/>
      <c r="S34" s="173"/>
      <c r="T34" s="4"/>
      <c r="U34" s="1"/>
      <c r="V34" s="1"/>
      <c r="W34" s="1"/>
      <c r="X34" s="1"/>
      <c r="Y34" s="1"/>
      <c r="Z34" s="1"/>
      <c r="AA34" s="1"/>
      <c r="AB34" s="1"/>
      <c r="AC34" s="1"/>
      <c r="AD34" s="1"/>
    </row>
    <row r="35" spans="1:30" ht="14.4" thickBot="1">
      <c r="A35" s="1"/>
      <c r="B35" s="53"/>
      <c r="C35" s="54"/>
      <c r="D35" s="54"/>
      <c r="E35" s="54"/>
      <c r="F35" s="54"/>
      <c r="G35" s="54"/>
      <c r="H35" s="55"/>
      <c r="I35" s="1"/>
      <c r="J35" s="2"/>
      <c r="K35" s="30">
        <v>25</v>
      </c>
      <c r="L35" s="13"/>
      <c r="M35" s="171"/>
      <c r="N35" s="170"/>
      <c r="O35" s="3"/>
      <c r="P35" s="30">
        <v>25</v>
      </c>
      <c r="Q35" s="13"/>
      <c r="R35" s="174"/>
      <c r="S35" s="173"/>
      <c r="T35" s="4"/>
      <c r="U35" s="1"/>
      <c r="V35" s="1"/>
      <c r="W35" s="1"/>
      <c r="X35" s="1"/>
      <c r="Y35" s="1"/>
      <c r="Z35" s="1"/>
      <c r="AA35" s="1"/>
      <c r="AB35" s="1"/>
      <c r="AC35" s="1"/>
      <c r="AD35" s="1"/>
    </row>
    <row r="36" spans="1:30" ht="13.8">
      <c r="A36" s="1"/>
      <c r="B36" s="1"/>
      <c r="C36" s="1"/>
      <c r="D36" s="1"/>
      <c r="E36" s="1"/>
      <c r="F36" s="1"/>
      <c r="G36" s="1"/>
      <c r="H36" s="1"/>
      <c r="I36" s="1"/>
      <c r="J36" s="2"/>
      <c r="K36" s="30">
        <v>26</v>
      </c>
      <c r="L36" s="13"/>
      <c r="M36" s="171"/>
      <c r="N36" s="170"/>
      <c r="O36" s="3"/>
      <c r="P36" s="30">
        <v>26</v>
      </c>
      <c r="Q36" s="13"/>
      <c r="R36" s="174"/>
      <c r="S36" s="173"/>
      <c r="T36" s="4"/>
      <c r="U36" s="1"/>
      <c r="V36" s="1"/>
      <c r="W36" s="1"/>
      <c r="X36" s="1"/>
      <c r="Y36" s="1"/>
      <c r="Z36" s="1"/>
      <c r="AA36" s="1"/>
      <c r="AB36" s="1"/>
      <c r="AC36" s="1"/>
      <c r="AD36" s="1"/>
    </row>
    <row r="37" spans="1:30" ht="14.4" thickBot="1">
      <c r="A37" s="1"/>
      <c r="B37" s="1"/>
      <c r="C37" s="1"/>
      <c r="D37" s="1"/>
      <c r="E37" s="1"/>
      <c r="F37" s="1"/>
      <c r="G37" s="1"/>
      <c r="H37" s="1"/>
      <c r="I37" s="1"/>
      <c r="J37" s="2"/>
      <c r="K37" s="30">
        <v>27</v>
      </c>
      <c r="L37" s="13"/>
      <c r="M37" s="171"/>
      <c r="N37" s="170"/>
      <c r="O37" s="3"/>
      <c r="P37" s="30">
        <v>27</v>
      </c>
      <c r="Q37" s="13"/>
      <c r="R37" s="174"/>
      <c r="S37" s="173"/>
      <c r="T37" s="4"/>
      <c r="U37" s="1"/>
      <c r="V37" s="1"/>
      <c r="W37" s="1"/>
      <c r="X37" s="1"/>
      <c r="Y37" s="1"/>
      <c r="Z37" s="1"/>
      <c r="AA37" s="1"/>
      <c r="AB37" s="1"/>
      <c r="AC37" s="1"/>
      <c r="AD37" s="1"/>
    </row>
    <row r="38" spans="1:30" ht="13.8">
      <c r="A38" s="1"/>
      <c r="B38" s="340" t="s">
        <v>294</v>
      </c>
      <c r="C38" s="341"/>
      <c r="D38" s="341"/>
      <c r="E38" s="341"/>
      <c r="F38" s="341"/>
      <c r="G38" s="341"/>
      <c r="H38" s="342"/>
      <c r="I38" s="1"/>
      <c r="J38" s="2"/>
      <c r="K38" s="30">
        <v>28</v>
      </c>
      <c r="L38" s="13"/>
      <c r="M38" s="171"/>
      <c r="N38" s="170"/>
      <c r="O38" s="3"/>
      <c r="P38" s="30">
        <v>28</v>
      </c>
      <c r="Q38" s="13"/>
      <c r="R38" s="174"/>
      <c r="S38" s="173"/>
      <c r="T38" s="4"/>
      <c r="U38" s="1"/>
      <c r="V38" s="1"/>
      <c r="W38" s="1"/>
      <c r="X38" s="1"/>
      <c r="Y38" s="1"/>
      <c r="Z38" s="1"/>
      <c r="AA38" s="1"/>
      <c r="AB38" s="1"/>
      <c r="AC38" s="1"/>
      <c r="AD38" s="1"/>
    </row>
    <row r="39" spans="1:30" ht="13.8">
      <c r="A39" s="1"/>
      <c r="B39" s="343"/>
      <c r="C39" s="344"/>
      <c r="D39" s="344"/>
      <c r="E39" s="344"/>
      <c r="F39" s="344"/>
      <c r="G39" s="344"/>
      <c r="H39" s="345"/>
      <c r="I39" s="1"/>
      <c r="J39" s="2"/>
      <c r="K39" s="30">
        <v>29</v>
      </c>
      <c r="L39" s="13"/>
      <c r="M39" s="171"/>
      <c r="N39" s="170"/>
      <c r="O39" s="3"/>
      <c r="P39" s="30">
        <v>29</v>
      </c>
      <c r="Q39" s="13"/>
      <c r="R39" s="174"/>
      <c r="S39" s="173"/>
      <c r="T39" s="4"/>
      <c r="U39" s="1"/>
      <c r="V39" s="1"/>
      <c r="W39" s="1"/>
      <c r="X39" s="1"/>
      <c r="Y39" s="1"/>
      <c r="Z39" s="1"/>
      <c r="AA39" s="1"/>
      <c r="AB39" s="1"/>
      <c r="AC39" s="1"/>
      <c r="AD39" s="1"/>
    </row>
    <row r="40" spans="1:30" ht="14.4" thickBot="1">
      <c r="A40" s="1"/>
      <c r="B40" s="346"/>
      <c r="C40" s="347"/>
      <c r="D40" s="347"/>
      <c r="E40" s="347"/>
      <c r="F40" s="347"/>
      <c r="G40" s="347"/>
      <c r="H40" s="348"/>
      <c r="I40" s="1"/>
      <c r="J40" s="2"/>
      <c r="K40" s="30">
        <v>30</v>
      </c>
      <c r="L40" s="13"/>
      <c r="M40" s="171"/>
      <c r="N40" s="170"/>
      <c r="O40" s="3"/>
      <c r="P40" s="30">
        <v>30</v>
      </c>
      <c r="Q40" s="13"/>
      <c r="R40" s="174"/>
      <c r="S40" s="173"/>
      <c r="T40" s="4"/>
      <c r="U40" s="1"/>
      <c r="V40" s="1"/>
      <c r="W40" s="1"/>
      <c r="X40" s="1"/>
      <c r="Y40" s="1"/>
      <c r="Z40" s="1"/>
      <c r="AA40" s="1"/>
      <c r="AB40" s="1"/>
      <c r="AC40" s="1"/>
      <c r="AD40" s="1"/>
    </row>
    <row r="41" spans="1:30" ht="13.8">
      <c r="A41" s="1"/>
      <c r="B41" s="1"/>
      <c r="C41" s="1"/>
      <c r="D41" s="1"/>
      <c r="E41" s="1"/>
      <c r="F41" s="1"/>
      <c r="G41" s="1"/>
      <c r="H41" s="1"/>
      <c r="I41" s="1"/>
      <c r="J41" s="2"/>
      <c r="K41" s="30">
        <v>31</v>
      </c>
      <c r="L41" s="13"/>
      <c r="M41" s="171"/>
      <c r="N41" s="170"/>
      <c r="O41" s="3"/>
      <c r="P41" s="30">
        <v>31</v>
      </c>
      <c r="Q41" s="13"/>
      <c r="R41" s="174"/>
      <c r="S41" s="173"/>
      <c r="T41" s="4"/>
      <c r="U41" s="1"/>
      <c r="V41" s="1"/>
      <c r="W41" s="1"/>
      <c r="X41" s="1"/>
      <c r="Y41" s="1"/>
      <c r="Z41" s="1"/>
      <c r="AA41" s="1"/>
      <c r="AB41" s="1"/>
      <c r="AC41" s="1"/>
      <c r="AD41" s="1"/>
    </row>
    <row r="42" spans="1:30" ht="13.8">
      <c r="A42" s="1"/>
      <c r="B42" s="1"/>
      <c r="C42" s="1"/>
      <c r="D42" s="1"/>
      <c r="E42" s="1"/>
      <c r="F42" s="1"/>
      <c r="G42" s="1"/>
      <c r="H42" s="1"/>
      <c r="I42" s="1"/>
      <c r="J42" s="2"/>
      <c r="K42" s="30">
        <v>32</v>
      </c>
      <c r="L42" s="13"/>
      <c r="M42" s="171"/>
      <c r="N42" s="170"/>
      <c r="O42" s="3"/>
      <c r="P42" s="30">
        <v>32</v>
      </c>
      <c r="Q42" s="13"/>
      <c r="R42" s="174"/>
      <c r="S42" s="173"/>
      <c r="T42" s="4"/>
      <c r="U42" s="1"/>
      <c r="V42" s="1"/>
      <c r="W42" s="1"/>
      <c r="X42" s="1"/>
      <c r="Y42" s="1"/>
      <c r="Z42" s="1"/>
      <c r="AA42" s="1"/>
      <c r="AB42" s="1"/>
      <c r="AC42" s="1"/>
      <c r="AD42" s="1"/>
    </row>
    <row r="43" spans="1:30" ht="13.8">
      <c r="A43" s="1"/>
      <c r="B43" s="1"/>
      <c r="C43" s="1"/>
      <c r="D43" s="1"/>
      <c r="E43" s="1"/>
      <c r="F43" s="1"/>
      <c r="G43" s="1"/>
      <c r="H43" s="1"/>
      <c r="I43" s="1"/>
      <c r="J43" s="2"/>
      <c r="K43" s="30">
        <v>33</v>
      </c>
      <c r="L43" s="13"/>
      <c r="M43" s="171"/>
      <c r="N43" s="170"/>
      <c r="O43" s="3"/>
      <c r="P43" s="30">
        <v>33</v>
      </c>
      <c r="Q43" s="13"/>
      <c r="R43" s="174"/>
      <c r="S43" s="173"/>
      <c r="T43" s="4"/>
      <c r="U43" s="1"/>
      <c r="V43" s="1"/>
      <c r="W43" s="1"/>
      <c r="X43" s="1"/>
      <c r="Y43" s="1"/>
      <c r="Z43" s="1"/>
      <c r="AA43" s="1"/>
      <c r="AB43" s="1"/>
      <c r="AC43" s="1"/>
      <c r="AD43" s="1"/>
    </row>
    <row r="44" spans="1:30" ht="13.8">
      <c r="A44" s="1"/>
      <c r="B44" s="1"/>
      <c r="C44" s="1"/>
      <c r="D44" s="1"/>
      <c r="E44" s="1"/>
      <c r="F44" s="1"/>
      <c r="G44" s="1"/>
      <c r="H44" s="1"/>
      <c r="I44" s="1"/>
      <c r="J44" s="2"/>
      <c r="K44" s="30">
        <v>34</v>
      </c>
      <c r="L44" s="13"/>
      <c r="M44" s="171"/>
      <c r="N44" s="170"/>
      <c r="O44" s="3"/>
      <c r="P44" s="30">
        <v>34</v>
      </c>
      <c r="Q44" s="13"/>
      <c r="R44" s="174"/>
      <c r="S44" s="173"/>
      <c r="T44" s="4"/>
      <c r="U44" s="1"/>
      <c r="V44" s="1"/>
      <c r="W44" s="1"/>
      <c r="X44" s="1"/>
      <c r="Y44" s="1"/>
      <c r="Z44" s="1"/>
      <c r="AA44" s="1"/>
      <c r="AB44" s="1"/>
      <c r="AC44" s="1"/>
      <c r="AD44" s="1"/>
    </row>
    <row r="45" spans="1:30" ht="13.8">
      <c r="A45" s="1"/>
      <c r="B45" s="1"/>
      <c r="C45" s="1"/>
      <c r="D45" s="1"/>
      <c r="E45" s="1"/>
      <c r="F45" s="1"/>
      <c r="G45" s="1"/>
      <c r="H45" s="1"/>
      <c r="I45" s="1"/>
      <c r="J45" s="2"/>
      <c r="K45" s="30">
        <v>35</v>
      </c>
      <c r="L45" s="13"/>
      <c r="M45" s="171"/>
      <c r="N45" s="170"/>
      <c r="O45" s="3"/>
      <c r="P45" s="30">
        <v>35</v>
      </c>
      <c r="Q45" s="13"/>
      <c r="R45" s="174"/>
      <c r="S45" s="173"/>
      <c r="T45" s="4"/>
      <c r="U45" s="1"/>
      <c r="V45" s="1"/>
      <c r="W45" s="1"/>
      <c r="X45" s="1"/>
      <c r="Y45" s="1"/>
      <c r="Z45" s="1"/>
      <c r="AA45" s="1"/>
      <c r="AB45" s="1"/>
      <c r="AC45" s="1"/>
      <c r="AD45" s="1"/>
    </row>
    <row r="46" spans="1:30" ht="13.8">
      <c r="A46" s="1"/>
      <c r="B46" s="1"/>
      <c r="C46" s="1"/>
      <c r="D46" s="1"/>
      <c r="E46" s="1"/>
      <c r="F46" s="1"/>
      <c r="G46" s="1"/>
      <c r="H46" s="1"/>
      <c r="I46" s="1"/>
      <c r="J46" s="2"/>
      <c r="K46" s="30">
        <v>36</v>
      </c>
      <c r="L46" s="13"/>
      <c r="M46" s="171"/>
      <c r="N46" s="170"/>
      <c r="O46" s="3"/>
      <c r="P46" s="30">
        <v>36</v>
      </c>
      <c r="Q46" s="13"/>
      <c r="R46" s="174"/>
      <c r="S46" s="173"/>
      <c r="T46" s="4"/>
      <c r="U46" s="1"/>
      <c r="V46" s="1"/>
      <c r="W46" s="1"/>
      <c r="X46" s="1"/>
      <c r="Y46" s="1"/>
      <c r="Z46" s="1"/>
      <c r="AA46" s="1"/>
      <c r="AB46" s="1"/>
      <c r="AC46" s="1"/>
      <c r="AD46" s="1"/>
    </row>
    <row r="47" spans="1:30" ht="13.8">
      <c r="A47" s="1"/>
      <c r="B47" s="1"/>
      <c r="C47" s="1"/>
      <c r="D47" s="1"/>
      <c r="E47" s="1"/>
      <c r="F47" s="1"/>
      <c r="G47" s="1"/>
      <c r="H47" s="1"/>
      <c r="I47" s="1"/>
      <c r="J47" s="2"/>
      <c r="K47" s="30">
        <v>37</v>
      </c>
      <c r="L47" s="13"/>
      <c r="M47" s="171"/>
      <c r="N47" s="170"/>
      <c r="O47" s="3"/>
      <c r="P47" s="30">
        <v>37</v>
      </c>
      <c r="Q47" s="13"/>
      <c r="R47" s="174"/>
      <c r="S47" s="173"/>
      <c r="T47" s="4"/>
      <c r="U47" s="1"/>
      <c r="V47" s="1"/>
      <c r="W47" s="1"/>
      <c r="X47" s="1"/>
      <c r="Y47" s="1"/>
      <c r="Z47" s="1"/>
      <c r="AA47" s="1"/>
      <c r="AB47" s="1"/>
      <c r="AC47" s="1"/>
      <c r="AD47" s="1"/>
    </row>
    <row r="48" spans="1:30" ht="13.8">
      <c r="A48" s="1"/>
      <c r="B48" s="1"/>
      <c r="C48" s="1"/>
      <c r="D48" s="1"/>
      <c r="E48" s="1"/>
      <c r="F48" s="1"/>
      <c r="G48" s="1"/>
      <c r="H48" s="1"/>
      <c r="I48" s="1"/>
      <c r="J48" s="2"/>
      <c r="K48" s="30">
        <v>38</v>
      </c>
      <c r="L48" s="13"/>
      <c r="M48" s="171"/>
      <c r="N48" s="170"/>
      <c r="O48" s="3"/>
      <c r="P48" s="30">
        <v>38</v>
      </c>
      <c r="Q48" s="13"/>
      <c r="R48" s="174"/>
      <c r="S48" s="173"/>
      <c r="T48" s="4"/>
      <c r="U48" s="1"/>
      <c r="V48" s="1"/>
      <c r="W48" s="1"/>
      <c r="X48" s="1"/>
      <c r="Y48" s="1"/>
      <c r="Z48" s="1"/>
      <c r="AA48" s="1"/>
      <c r="AB48" s="1"/>
      <c r="AC48" s="1"/>
      <c r="AD48" s="1"/>
    </row>
    <row r="49" spans="1:30" ht="13.8">
      <c r="A49" s="1"/>
      <c r="B49" s="1"/>
      <c r="C49" s="1"/>
      <c r="D49" s="1"/>
      <c r="E49" s="1"/>
      <c r="F49" s="1"/>
      <c r="G49" s="1"/>
      <c r="H49" s="1"/>
      <c r="I49" s="1"/>
      <c r="J49" s="2"/>
      <c r="K49" s="30">
        <v>39</v>
      </c>
      <c r="L49" s="13"/>
      <c r="M49" s="171"/>
      <c r="N49" s="170"/>
      <c r="O49" s="3"/>
      <c r="P49" s="30">
        <v>39</v>
      </c>
      <c r="Q49" s="13"/>
      <c r="R49" s="174"/>
      <c r="S49" s="173"/>
      <c r="T49" s="4"/>
      <c r="U49" s="1"/>
      <c r="V49" s="1"/>
      <c r="W49" s="1"/>
      <c r="X49" s="1"/>
      <c r="Y49" s="1"/>
      <c r="Z49" s="1"/>
      <c r="AA49" s="1"/>
      <c r="AB49" s="1"/>
      <c r="AC49" s="1"/>
      <c r="AD49" s="1"/>
    </row>
    <row r="50" spans="1:30" ht="13.8">
      <c r="A50" s="1"/>
      <c r="B50" s="1"/>
      <c r="C50" s="1"/>
      <c r="D50" s="1"/>
      <c r="E50" s="1"/>
      <c r="F50" s="1"/>
      <c r="G50" s="1"/>
      <c r="H50" s="1"/>
      <c r="I50" s="1"/>
      <c r="J50" s="2"/>
      <c r="K50" s="30">
        <v>40</v>
      </c>
      <c r="L50" s="13"/>
      <c r="M50" s="171"/>
      <c r="N50" s="170"/>
      <c r="O50" s="3"/>
      <c r="P50" s="30">
        <v>40</v>
      </c>
      <c r="Q50" s="13"/>
      <c r="R50" s="174"/>
      <c r="S50" s="173"/>
      <c r="T50" s="4"/>
      <c r="U50" s="1"/>
      <c r="V50" s="1"/>
      <c r="W50" s="1"/>
      <c r="X50" s="1"/>
      <c r="Y50" s="1"/>
      <c r="Z50" s="1"/>
      <c r="AA50" s="1"/>
      <c r="AB50" s="1"/>
      <c r="AC50" s="1"/>
      <c r="AD50" s="1"/>
    </row>
    <row r="51" spans="1:30" ht="13.8">
      <c r="A51" s="1"/>
      <c r="B51" s="1"/>
      <c r="C51" s="1"/>
      <c r="D51" s="1"/>
      <c r="E51" s="1"/>
      <c r="F51" s="1"/>
      <c r="G51" s="1"/>
      <c r="H51" s="1"/>
      <c r="I51" s="1"/>
      <c r="J51" s="2"/>
      <c r="K51" s="30">
        <v>41</v>
      </c>
      <c r="L51" s="13"/>
      <c r="M51" s="171"/>
      <c r="N51" s="170"/>
      <c r="O51" s="3"/>
      <c r="P51" s="30">
        <v>41</v>
      </c>
      <c r="Q51" s="13"/>
      <c r="R51" s="174"/>
      <c r="S51" s="173"/>
      <c r="T51" s="4"/>
      <c r="U51" s="1"/>
      <c r="V51" s="1"/>
      <c r="W51" s="1"/>
      <c r="X51" s="1"/>
      <c r="Y51" s="1"/>
      <c r="Z51" s="1"/>
      <c r="AA51" s="1"/>
      <c r="AB51" s="1"/>
      <c r="AC51" s="1"/>
      <c r="AD51" s="1"/>
    </row>
    <row r="52" spans="1:30" ht="13.8">
      <c r="A52" s="1"/>
      <c r="B52" s="1"/>
      <c r="C52" s="1"/>
      <c r="D52" s="1"/>
      <c r="E52" s="1"/>
      <c r="F52" s="1"/>
      <c r="G52" s="1"/>
      <c r="H52" s="1"/>
      <c r="I52" s="1"/>
      <c r="J52" s="2"/>
      <c r="K52" s="30">
        <v>42</v>
      </c>
      <c r="L52" s="13"/>
      <c r="M52" s="171"/>
      <c r="N52" s="170"/>
      <c r="O52" s="3"/>
      <c r="P52" s="30">
        <v>42</v>
      </c>
      <c r="Q52" s="13"/>
      <c r="R52" s="174"/>
      <c r="S52" s="173"/>
      <c r="T52" s="4"/>
      <c r="U52" s="1"/>
      <c r="V52" s="1"/>
      <c r="W52" s="1"/>
      <c r="X52" s="1"/>
      <c r="Y52" s="1"/>
      <c r="Z52" s="1"/>
      <c r="AA52" s="1"/>
      <c r="AB52" s="1"/>
      <c r="AC52" s="1"/>
      <c r="AD52" s="1"/>
    </row>
    <row r="53" spans="1:30" ht="13.8">
      <c r="A53" s="1"/>
      <c r="B53" s="1"/>
      <c r="C53" s="1"/>
      <c r="D53" s="1"/>
      <c r="E53" s="1"/>
      <c r="F53" s="1"/>
      <c r="G53" s="1"/>
      <c r="H53" s="1"/>
      <c r="I53" s="1"/>
      <c r="J53" s="2"/>
      <c r="K53" s="30">
        <v>43</v>
      </c>
      <c r="L53" s="13"/>
      <c r="M53" s="171"/>
      <c r="N53" s="170"/>
      <c r="O53" s="3"/>
      <c r="P53" s="30">
        <v>43</v>
      </c>
      <c r="Q53" s="13"/>
      <c r="R53" s="174"/>
      <c r="S53" s="173"/>
      <c r="T53" s="4"/>
      <c r="U53" s="1"/>
      <c r="V53" s="1"/>
      <c r="W53" s="1"/>
      <c r="X53" s="1"/>
      <c r="Y53" s="1"/>
      <c r="Z53" s="1"/>
      <c r="AA53" s="1"/>
      <c r="AB53" s="1"/>
      <c r="AC53" s="1"/>
      <c r="AD53" s="1"/>
    </row>
    <row r="54" spans="1:30" ht="13.8">
      <c r="A54" s="1"/>
      <c r="B54" s="1"/>
      <c r="C54" s="1"/>
      <c r="D54" s="1"/>
      <c r="E54" s="1"/>
      <c r="F54" s="1"/>
      <c r="G54" s="1"/>
      <c r="H54" s="1"/>
      <c r="I54" s="1"/>
      <c r="J54" s="2"/>
      <c r="K54" s="30">
        <v>44</v>
      </c>
      <c r="L54" s="13"/>
      <c r="M54" s="171"/>
      <c r="N54" s="170"/>
      <c r="O54" s="3"/>
      <c r="P54" s="30">
        <v>44</v>
      </c>
      <c r="Q54" s="13"/>
      <c r="R54" s="174"/>
      <c r="S54" s="173"/>
      <c r="T54" s="4"/>
      <c r="U54" s="1"/>
      <c r="V54" s="1"/>
      <c r="W54" s="1"/>
      <c r="X54" s="1"/>
      <c r="Y54" s="1"/>
      <c r="Z54" s="1"/>
      <c r="AA54" s="1"/>
      <c r="AB54" s="1"/>
      <c r="AC54" s="1"/>
      <c r="AD54" s="1"/>
    </row>
    <row r="55" spans="1:30" ht="13.8">
      <c r="A55" s="1"/>
      <c r="B55" s="1"/>
      <c r="C55" s="1"/>
      <c r="D55" s="1"/>
      <c r="E55" s="1"/>
      <c r="F55" s="1"/>
      <c r="G55" s="1"/>
      <c r="H55" s="1"/>
      <c r="I55" s="1"/>
      <c r="J55" s="2"/>
      <c r="K55" s="30">
        <v>45</v>
      </c>
      <c r="L55" s="13"/>
      <c r="M55" s="171"/>
      <c r="N55" s="170"/>
      <c r="O55" s="3"/>
      <c r="P55" s="30">
        <v>45</v>
      </c>
      <c r="Q55" s="13"/>
      <c r="R55" s="174"/>
      <c r="S55" s="173"/>
      <c r="T55" s="4"/>
      <c r="U55" s="1"/>
      <c r="V55" s="1"/>
      <c r="W55" s="1"/>
      <c r="X55" s="1"/>
      <c r="Y55" s="1"/>
      <c r="Z55" s="1"/>
      <c r="AA55" s="1"/>
      <c r="AB55" s="1"/>
      <c r="AC55" s="1"/>
      <c r="AD55" s="1"/>
    </row>
    <row r="56" spans="1:30" ht="13.8">
      <c r="A56" s="1"/>
      <c r="B56" s="1"/>
      <c r="C56" s="1"/>
      <c r="D56" s="1"/>
      <c r="E56" s="1"/>
      <c r="F56" s="1"/>
      <c r="G56" s="1"/>
      <c r="H56" s="1"/>
      <c r="I56" s="1"/>
      <c r="J56" s="2"/>
      <c r="K56" s="30">
        <v>46</v>
      </c>
      <c r="L56" s="13"/>
      <c r="M56" s="171"/>
      <c r="N56" s="170"/>
      <c r="O56" s="3"/>
      <c r="P56" s="30">
        <v>46</v>
      </c>
      <c r="Q56" s="13"/>
      <c r="R56" s="174"/>
      <c r="S56" s="173"/>
      <c r="T56" s="4"/>
      <c r="U56" s="1"/>
      <c r="V56" s="1"/>
      <c r="W56" s="1"/>
      <c r="X56" s="1"/>
      <c r="Y56" s="1"/>
      <c r="Z56" s="1"/>
      <c r="AA56" s="1"/>
      <c r="AB56" s="1"/>
      <c r="AC56" s="1"/>
      <c r="AD56" s="1"/>
    </row>
    <row r="57" spans="1:30" ht="13.8">
      <c r="A57" s="1"/>
      <c r="B57" s="1"/>
      <c r="C57" s="1"/>
      <c r="D57" s="1"/>
      <c r="E57" s="1"/>
      <c r="F57" s="1"/>
      <c r="G57" s="1"/>
      <c r="H57" s="1"/>
      <c r="I57" s="1"/>
      <c r="J57" s="2"/>
      <c r="K57" s="30">
        <v>47</v>
      </c>
      <c r="L57" s="13"/>
      <c r="M57" s="171"/>
      <c r="N57" s="170"/>
      <c r="O57" s="3"/>
      <c r="P57" s="30">
        <v>47</v>
      </c>
      <c r="Q57" s="13"/>
      <c r="R57" s="174"/>
      <c r="S57" s="173"/>
      <c r="T57" s="4"/>
      <c r="U57" s="1"/>
      <c r="V57" s="1"/>
      <c r="W57" s="1"/>
      <c r="X57" s="1"/>
      <c r="Y57" s="1"/>
      <c r="Z57" s="1"/>
      <c r="AA57" s="1"/>
      <c r="AB57" s="1"/>
      <c r="AC57" s="1"/>
      <c r="AD57" s="1"/>
    </row>
    <row r="58" spans="1:30" ht="13.8">
      <c r="A58" s="1"/>
      <c r="B58" s="1"/>
      <c r="C58" s="1"/>
      <c r="D58" s="1"/>
      <c r="E58" s="1"/>
      <c r="F58" s="1"/>
      <c r="G58" s="1"/>
      <c r="H58" s="1"/>
      <c r="I58" s="1"/>
      <c r="J58" s="2"/>
      <c r="K58" s="30">
        <v>48</v>
      </c>
      <c r="L58" s="13"/>
      <c r="M58" s="171"/>
      <c r="N58" s="170"/>
      <c r="O58" s="3"/>
      <c r="P58" s="30">
        <v>48</v>
      </c>
      <c r="Q58" s="13"/>
      <c r="R58" s="174"/>
      <c r="S58" s="173"/>
      <c r="T58" s="4"/>
      <c r="U58" s="1"/>
      <c r="V58" s="1"/>
      <c r="W58" s="1"/>
      <c r="X58" s="1"/>
      <c r="Y58" s="1"/>
      <c r="Z58" s="1"/>
      <c r="AA58" s="1"/>
      <c r="AB58" s="1"/>
      <c r="AC58" s="1"/>
      <c r="AD58" s="1"/>
    </row>
    <row r="59" spans="1:30" ht="13.8">
      <c r="A59" s="1"/>
      <c r="B59" s="1"/>
      <c r="C59" s="1"/>
      <c r="D59" s="1"/>
      <c r="E59" s="1"/>
      <c r="F59" s="1"/>
      <c r="G59" s="1"/>
      <c r="H59" s="1"/>
      <c r="I59" s="1"/>
      <c r="J59" s="2"/>
      <c r="K59" s="30">
        <v>49</v>
      </c>
      <c r="L59" s="13"/>
      <c r="M59" s="171"/>
      <c r="N59" s="170"/>
      <c r="O59" s="3"/>
      <c r="P59" s="30">
        <v>49</v>
      </c>
      <c r="Q59" s="13"/>
      <c r="R59" s="174"/>
      <c r="S59" s="173"/>
      <c r="T59" s="4"/>
      <c r="U59" s="1"/>
      <c r="V59" s="1"/>
      <c r="W59" s="1"/>
      <c r="X59" s="1"/>
      <c r="Y59" s="1"/>
      <c r="Z59" s="1"/>
      <c r="AA59" s="1"/>
      <c r="AB59" s="1"/>
      <c r="AC59" s="1"/>
      <c r="AD59" s="1"/>
    </row>
    <row r="60" spans="1:30" ht="13.8">
      <c r="A60" s="1"/>
      <c r="B60" s="1"/>
      <c r="C60" s="1"/>
      <c r="D60" s="1"/>
      <c r="E60" s="1"/>
      <c r="F60" s="1"/>
      <c r="G60" s="1"/>
      <c r="H60" s="1"/>
      <c r="I60" s="1"/>
      <c r="J60" s="2"/>
      <c r="K60" s="30">
        <v>50</v>
      </c>
      <c r="L60" s="13"/>
      <c r="M60" s="171"/>
      <c r="N60" s="170"/>
      <c r="O60" s="3"/>
      <c r="P60" s="30">
        <v>50</v>
      </c>
      <c r="Q60" s="13"/>
      <c r="R60" s="174"/>
      <c r="S60" s="173"/>
      <c r="T60" s="4"/>
      <c r="U60" s="1"/>
      <c r="V60" s="1"/>
      <c r="W60" s="1"/>
      <c r="X60" s="1"/>
      <c r="Y60" s="1"/>
      <c r="Z60" s="1"/>
      <c r="AA60" s="1"/>
      <c r="AB60" s="1"/>
      <c r="AC60" s="1"/>
      <c r="AD60" s="1"/>
    </row>
    <row r="61" spans="1:30" ht="14.4" thickBot="1">
      <c r="A61" s="1"/>
      <c r="B61" s="1"/>
      <c r="C61" s="1"/>
      <c r="D61" s="1"/>
      <c r="E61" s="1"/>
      <c r="F61" s="1"/>
      <c r="G61" s="1"/>
      <c r="H61" s="1"/>
      <c r="I61" s="1"/>
      <c r="J61" s="15"/>
      <c r="K61" s="16"/>
      <c r="L61" s="16"/>
      <c r="M61" s="16"/>
      <c r="N61" s="16"/>
      <c r="O61" s="16"/>
      <c r="P61" s="16"/>
      <c r="Q61" s="16"/>
      <c r="R61" s="28"/>
      <c r="S61" s="28"/>
      <c r="T61" s="17"/>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29" t="s">
        <v>26</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18"/>
      <c r="C986" s="18"/>
      <c r="D986" s="18"/>
      <c r="E986" s="18"/>
      <c r="F986" s="18"/>
      <c r="G986" s="18"/>
      <c r="H986" s="18"/>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18"/>
      <c r="C987" s="18"/>
      <c r="D987" s="18"/>
      <c r="E987" s="18"/>
      <c r="F987" s="18"/>
      <c r="G987" s="18"/>
      <c r="H987" s="18"/>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18"/>
      <c r="C988" s="18"/>
      <c r="D988" s="18"/>
      <c r="E988" s="18"/>
      <c r="F988" s="18"/>
      <c r="G988" s="18"/>
      <c r="H988" s="18"/>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18"/>
      <c r="C989" s="18"/>
      <c r="D989" s="18"/>
      <c r="E989" s="18"/>
      <c r="F989" s="18"/>
      <c r="G989" s="18"/>
      <c r="H989" s="18"/>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18"/>
      <c r="C990" s="18"/>
      <c r="D990" s="18"/>
      <c r="E990" s="18"/>
      <c r="F990" s="18"/>
      <c r="G990" s="18"/>
      <c r="H990" s="18"/>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18"/>
      <c r="C991" s="18"/>
      <c r="D991" s="18"/>
      <c r="E991" s="18"/>
      <c r="F991" s="18"/>
      <c r="G991" s="18"/>
      <c r="H991" s="18"/>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18"/>
      <c r="C992" s="18"/>
      <c r="D992" s="18"/>
      <c r="E992" s="18"/>
      <c r="F992" s="18"/>
      <c r="G992" s="18"/>
      <c r="H992" s="18"/>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18"/>
      <c r="I995" s="18"/>
      <c r="J995" s="1"/>
      <c r="K995" s="1"/>
      <c r="L995" s="1"/>
      <c r="M995" s="1"/>
      <c r="N995" s="1"/>
      <c r="O995" s="1"/>
      <c r="P995" s="1"/>
      <c r="Q995" s="1"/>
      <c r="R995" s="1"/>
      <c r="S995" s="1"/>
      <c r="T995" s="1"/>
      <c r="U995" s="1"/>
      <c r="V995" s="1"/>
      <c r="W995" s="1"/>
      <c r="X995" s="1"/>
      <c r="Y995" s="1"/>
      <c r="Z995" s="1"/>
      <c r="AA995" s="1"/>
      <c r="AB995" s="1"/>
      <c r="AC995" s="1"/>
      <c r="AD995" s="1"/>
    </row>
    <row r="996" spans="1:30" ht="13.8">
      <c r="A996" s="18"/>
      <c r="I996" s="18"/>
      <c r="J996" s="1"/>
      <c r="K996" s="1"/>
      <c r="L996" s="1"/>
      <c r="M996" s="1"/>
      <c r="N996" s="1"/>
      <c r="O996" s="1"/>
      <c r="P996" s="1"/>
      <c r="Q996" s="1"/>
      <c r="R996" s="1"/>
      <c r="S996" s="1"/>
      <c r="T996" s="1"/>
      <c r="U996" s="1"/>
      <c r="V996" s="1"/>
      <c r="W996" s="1"/>
      <c r="X996" s="1"/>
      <c r="Y996" s="1"/>
      <c r="Z996" s="1"/>
      <c r="AA996" s="1"/>
      <c r="AB996" s="1"/>
      <c r="AC996" s="1"/>
      <c r="AD996" s="1"/>
    </row>
    <row r="997" spans="1:30" ht="13.8">
      <c r="A997" s="18"/>
      <c r="I997" s="18"/>
      <c r="J997" s="1"/>
      <c r="K997" s="1"/>
      <c r="L997" s="1"/>
      <c r="M997" s="1"/>
      <c r="N997" s="1"/>
      <c r="O997" s="1"/>
      <c r="P997" s="1"/>
      <c r="Q997" s="1"/>
      <c r="R997" s="1"/>
      <c r="S997" s="1"/>
      <c r="T997" s="1"/>
      <c r="U997" s="1"/>
      <c r="V997" s="1"/>
      <c r="W997" s="1"/>
      <c r="X997" s="1"/>
      <c r="Y997" s="1"/>
      <c r="Z997" s="1"/>
      <c r="AA997" s="1"/>
      <c r="AB997" s="1"/>
      <c r="AC997" s="1"/>
      <c r="AD997" s="1"/>
    </row>
    <row r="998" spans="1:30" ht="13.8">
      <c r="A998" s="18"/>
      <c r="I998" s="18"/>
      <c r="J998" s="1"/>
      <c r="K998" s="1"/>
      <c r="L998" s="1"/>
      <c r="M998" s="1"/>
      <c r="N998" s="1"/>
      <c r="O998" s="1"/>
      <c r="P998" s="1"/>
      <c r="Q998" s="1"/>
      <c r="R998" s="1"/>
      <c r="S998" s="1"/>
      <c r="T998" s="1"/>
      <c r="U998" s="1"/>
      <c r="V998" s="1"/>
      <c r="W998" s="1"/>
      <c r="X998" s="1"/>
      <c r="Y998" s="1"/>
      <c r="Z998" s="1"/>
      <c r="AA998" s="1"/>
      <c r="AB998" s="1"/>
      <c r="AC998" s="1"/>
      <c r="AD998" s="1"/>
    </row>
    <row r="999" spans="1:30" ht="13.8">
      <c r="A999" s="18"/>
      <c r="I999" s="18"/>
      <c r="J999" s="1"/>
      <c r="K999" s="1"/>
      <c r="L999" s="1"/>
      <c r="M999" s="1"/>
      <c r="N999" s="1"/>
      <c r="O999" s="1"/>
      <c r="P999" s="1"/>
      <c r="Q999" s="1"/>
      <c r="R999" s="1"/>
      <c r="S999" s="1"/>
      <c r="T999" s="1"/>
      <c r="U999" s="1"/>
      <c r="V999" s="1"/>
      <c r="W999" s="1"/>
      <c r="X999" s="1"/>
      <c r="Y999" s="1"/>
      <c r="Z999" s="1"/>
      <c r="AA999" s="1"/>
      <c r="AB999" s="1"/>
      <c r="AC999" s="1"/>
      <c r="AD999" s="1"/>
    </row>
    <row r="1000" spans="1:30" ht="13.8">
      <c r="A1000" s="18"/>
      <c r="I1000" s="18"/>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18"/>
      <c r="I1001" s="18"/>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3">
    <mergeCell ref="B38:H40"/>
    <mergeCell ref="F16:G17"/>
    <mergeCell ref="F29:G29"/>
    <mergeCell ref="C31:G34"/>
    <mergeCell ref="F26:G26"/>
    <mergeCell ref="C27:D27"/>
    <mergeCell ref="F28:G28"/>
    <mergeCell ref="B23:H24"/>
    <mergeCell ref="F18:G18"/>
    <mergeCell ref="F19:G19"/>
    <mergeCell ref="E16:E17"/>
    <mergeCell ref="A1:U5"/>
    <mergeCell ref="B7:H8"/>
    <mergeCell ref="J7:T8"/>
    <mergeCell ref="C10:D10"/>
    <mergeCell ref="F10:G10"/>
    <mergeCell ref="C11:D11"/>
    <mergeCell ref="C12:D12"/>
    <mergeCell ref="C18:D18"/>
    <mergeCell ref="C19:D19"/>
    <mergeCell ref="C13:D13"/>
    <mergeCell ref="C15:D15"/>
    <mergeCell ref="C16:D17"/>
  </mergeCells>
  <dataValidations count="5">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"11"</formula1>
    </dataValidation>
    <dataValidation allowBlank="1" showErrorMessage="1" sqref="G27" xr:uid="{7803F44E-5441-40D2-9035-BCD6257FD47C}"/>
    <dataValidation type="list" allowBlank="1" showInputMessage="1" showErrorMessage="1" sqref="F28:G28" xr:uid="{35DD8E56-FD93-499C-A2F8-DE7850A4186D}">
      <formula1>"Academic"</formula1>
    </dataValidation>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C127"/>
  <sheetViews>
    <sheetView showGridLines="0" zoomScale="85" zoomScaleNormal="85" workbookViewId="0">
      <selection activeCell="C16" sqref="C16:E16"/>
    </sheetView>
  </sheetViews>
  <sheetFormatPr defaultColWidth="12.6640625" defaultRowHeight="15.75" customHeight="1"/>
  <cols>
    <col min="1" max="2" width="3.88671875" style="192" customWidth="1"/>
    <col min="3" max="3" width="13.109375" style="192" customWidth="1"/>
    <col min="4" max="5" width="12.6640625" style="192"/>
    <col min="6" max="6" width="16.21875" style="192" customWidth="1"/>
    <col min="7" max="7" width="19.44140625" style="192" customWidth="1"/>
    <col min="8" max="8" width="12.6640625" style="192"/>
    <col min="9" max="9" width="5.6640625" style="192" customWidth="1"/>
    <col min="10" max="10" width="5.109375" style="192" customWidth="1"/>
    <col min="11" max="11" width="13.88671875" style="192" customWidth="1"/>
    <col min="12" max="13" width="13.77734375" style="192" customWidth="1"/>
    <col min="14" max="14" width="12.77734375" style="192" customWidth="1"/>
    <col min="15" max="15" width="11.33203125" style="192" customWidth="1"/>
    <col min="16" max="16" width="13.44140625" style="192" customWidth="1"/>
    <col min="17" max="18" width="9.44140625" style="192" customWidth="1"/>
    <col min="19" max="19" width="3.88671875" style="192" customWidth="1"/>
    <col min="20" max="16384" width="12.6640625" style="192"/>
  </cols>
  <sheetData>
    <row r="1" spans="1:29" ht="13.2">
      <c r="A1" s="365" t="s">
        <v>114</v>
      </c>
      <c r="B1" s="244"/>
      <c r="C1" s="244"/>
      <c r="D1" s="244"/>
      <c r="E1" s="244"/>
      <c r="F1" s="244"/>
      <c r="G1" s="244"/>
      <c r="H1" s="244"/>
      <c r="I1" s="244"/>
      <c r="J1" s="244"/>
      <c r="K1" s="244"/>
      <c r="L1" s="244"/>
      <c r="M1" s="244"/>
      <c r="N1" s="244"/>
      <c r="O1" s="244"/>
      <c r="P1" s="244"/>
      <c r="Q1" s="244"/>
      <c r="R1" s="244"/>
      <c r="S1" s="244"/>
      <c r="T1" s="201"/>
      <c r="U1" s="201"/>
      <c r="V1" s="201"/>
      <c r="W1" s="201"/>
      <c r="X1" s="201"/>
      <c r="Y1" s="201"/>
      <c r="Z1" s="201"/>
      <c r="AA1" s="201"/>
      <c r="AB1" s="201"/>
      <c r="AC1" s="201"/>
    </row>
    <row r="2" spans="1:29" ht="13.2">
      <c r="A2" s="244"/>
      <c r="B2" s="244"/>
      <c r="C2" s="244"/>
      <c r="D2" s="244"/>
      <c r="E2" s="244"/>
      <c r="F2" s="244"/>
      <c r="G2" s="244"/>
      <c r="H2" s="244"/>
      <c r="I2" s="244"/>
      <c r="J2" s="244"/>
      <c r="K2" s="244"/>
      <c r="L2" s="244"/>
      <c r="M2" s="244"/>
      <c r="N2" s="244"/>
      <c r="O2" s="244"/>
      <c r="P2" s="244"/>
      <c r="Q2" s="244"/>
      <c r="R2" s="244"/>
      <c r="S2" s="244"/>
      <c r="T2" s="201"/>
      <c r="U2" s="201"/>
      <c r="V2" s="201"/>
      <c r="W2" s="201"/>
      <c r="X2" s="201"/>
      <c r="Y2" s="201"/>
      <c r="Z2" s="201"/>
      <c r="AA2" s="201"/>
      <c r="AB2" s="201"/>
      <c r="AC2" s="201"/>
    </row>
    <row r="3" spans="1:29" ht="13.2">
      <c r="A3" s="244"/>
      <c r="B3" s="244"/>
      <c r="C3" s="244"/>
      <c r="D3" s="244"/>
      <c r="E3" s="244"/>
      <c r="F3" s="244"/>
      <c r="G3" s="244"/>
      <c r="H3" s="244"/>
      <c r="I3" s="244"/>
      <c r="J3" s="244"/>
      <c r="K3" s="244"/>
      <c r="L3" s="244"/>
      <c r="M3" s="244"/>
      <c r="N3" s="244"/>
      <c r="O3" s="244"/>
      <c r="P3" s="244"/>
      <c r="Q3" s="244"/>
      <c r="R3" s="244"/>
      <c r="S3" s="244"/>
      <c r="T3" s="201"/>
      <c r="U3" s="201"/>
      <c r="V3" s="201"/>
      <c r="W3" s="201"/>
      <c r="X3" s="201"/>
      <c r="Y3" s="201"/>
      <c r="Z3" s="201"/>
      <c r="AA3" s="201"/>
      <c r="AB3" s="201"/>
      <c r="AC3" s="201"/>
    </row>
    <row r="4" spans="1:29" ht="13.8" thickBot="1">
      <c r="A4" s="244"/>
      <c r="B4" s="244"/>
      <c r="C4" s="244"/>
      <c r="D4" s="244"/>
      <c r="E4" s="244"/>
      <c r="F4" s="244"/>
      <c r="G4" s="244"/>
      <c r="H4" s="244"/>
      <c r="I4" s="244"/>
      <c r="J4" s="244"/>
      <c r="K4" s="244"/>
      <c r="L4" s="244"/>
      <c r="M4" s="244"/>
      <c r="N4" s="244"/>
      <c r="O4" s="244"/>
      <c r="P4" s="244"/>
      <c r="Q4" s="244"/>
      <c r="R4" s="244"/>
      <c r="S4" s="244"/>
      <c r="T4" s="202"/>
      <c r="U4" s="202"/>
      <c r="V4" s="202"/>
      <c r="W4" s="202"/>
      <c r="X4" s="202"/>
      <c r="Y4" s="202"/>
      <c r="Z4" s="202"/>
      <c r="AA4" s="202"/>
      <c r="AB4" s="202"/>
      <c r="AC4" s="202"/>
    </row>
    <row r="5" spans="1:29" ht="16.2" thickBot="1">
      <c r="A5" s="203"/>
      <c r="B5" s="204"/>
      <c r="C5" s="205"/>
      <c r="D5" s="206" t="s">
        <v>2</v>
      </c>
      <c r="E5" s="366" t="str">
        <f>IF('INPUT DATA'!F10="","",'INPUT DATA'!F10)</f>
        <v/>
      </c>
      <c r="F5" s="367"/>
      <c r="G5" s="368"/>
      <c r="H5" s="109"/>
      <c r="I5" s="206" t="s">
        <v>5</v>
      </c>
      <c r="J5" s="362" t="str">
        <f>IF('INPUT DATA'!F11="","",'INPUT DATA'!F11)</f>
        <v/>
      </c>
      <c r="K5" s="363"/>
      <c r="L5" s="363"/>
      <c r="M5" s="364"/>
      <c r="N5" s="207"/>
      <c r="O5" s="208"/>
      <c r="P5" s="109"/>
      <c r="Q5" s="109"/>
      <c r="R5" s="109"/>
      <c r="S5" s="203"/>
      <c r="T5" s="203"/>
      <c r="U5" s="203"/>
      <c r="V5" s="203"/>
      <c r="W5" s="203"/>
      <c r="X5" s="203"/>
      <c r="Y5" s="203"/>
      <c r="Z5" s="203"/>
      <c r="AA5" s="203"/>
      <c r="AB5" s="203"/>
      <c r="AC5" s="203"/>
    </row>
    <row r="6" spans="1:29" ht="16.2" customHeight="1" thickBot="1">
      <c r="A6" s="203"/>
      <c r="B6" s="204"/>
      <c r="C6" s="209"/>
      <c r="D6" s="206" t="s">
        <v>6</v>
      </c>
      <c r="E6" s="366" t="str">
        <f>IF('INPUT DATA'!F16="","",'INPUT DATA'!F16)</f>
        <v/>
      </c>
      <c r="F6" s="367"/>
      <c r="G6" s="368"/>
      <c r="H6" s="109"/>
      <c r="I6" s="206" t="s">
        <v>7</v>
      </c>
      <c r="J6" s="359" t="str">
        <f>IF('INPUT DATA'!F15="","",'INPUT DATA'!F15)</f>
        <v/>
      </c>
      <c r="K6" s="361"/>
      <c r="L6" s="360"/>
      <c r="M6" s="403" t="s">
        <v>9</v>
      </c>
      <c r="N6" s="403"/>
      <c r="O6" s="359" t="str">
        <f>IF('INPUT DATA'!F18="","",'INPUT DATA'!F18)</f>
        <v/>
      </c>
      <c r="P6" s="360"/>
      <c r="S6" s="203"/>
      <c r="T6" s="203"/>
      <c r="U6" s="203"/>
      <c r="V6" s="203"/>
      <c r="W6" s="203"/>
      <c r="X6" s="203"/>
      <c r="Y6" s="203"/>
      <c r="Z6" s="203"/>
      <c r="AA6" s="203"/>
      <c r="AB6" s="203"/>
      <c r="AC6" s="203"/>
    </row>
    <row r="7" spans="1:29" ht="13.8" thickBot="1">
      <c r="A7" s="202"/>
      <c r="B7" s="210"/>
      <c r="C7" s="211"/>
      <c r="D7" s="211"/>
      <c r="E7" s="202"/>
      <c r="F7" s="202"/>
      <c r="G7" s="212"/>
      <c r="I7" s="202"/>
      <c r="J7" s="202"/>
      <c r="K7" s="202"/>
      <c r="L7" s="211"/>
      <c r="M7" s="211"/>
      <c r="N7" s="202"/>
      <c r="O7" s="202"/>
      <c r="P7" s="211"/>
      <c r="Q7" s="211"/>
      <c r="R7" s="211"/>
      <c r="S7" s="202"/>
      <c r="T7" s="202"/>
      <c r="U7" s="202"/>
      <c r="V7" s="202"/>
      <c r="W7" s="202"/>
      <c r="X7" s="202"/>
      <c r="Y7" s="202"/>
      <c r="Z7" s="202"/>
      <c r="AA7" s="202"/>
      <c r="AB7" s="202"/>
      <c r="AC7" s="202"/>
    </row>
    <row r="8" spans="1:29" ht="13.8" thickBot="1">
      <c r="A8" s="202"/>
      <c r="B8" s="404"/>
      <c r="C8" s="405"/>
      <c r="D8" s="405"/>
      <c r="E8" s="405"/>
      <c r="F8" s="405"/>
      <c r="G8" s="405"/>
      <c r="H8" s="405"/>
      <c r="I8" s="405"/>
      <c r="J8" s="405"/>
      <c r="K8" s="405"/>
      <c r="L8" s="405"/>
      <c r="M8" s="405"/>
      <c r="N8" s="405"/>
      <c r="O8" s="405"/>
      <c r="P8" s="405"/>
      <c r="Q8" s="405"/>
      <c r="R8" s="406"/>
      <c r="S8" s="202"/>
      <c r="T8" s="202"/>
      <c r="U8" s="202"/>
      <c r="V8" s="202"/>
      <c r="W8" s="202"/>
      <c r="X8" s="202"/>
      <c r="Y8" s="202"/>
      <c r="Z8" s="202"/>
      <c r="AA8" s="202"/>
      <c r="AB8" s="202"/>
      <c r="AC8" s="202"/>
    </row>
    <row r="9" spans="1:29" ht="14.4" thickBot="1">
      <c r="A9" s="201"/>
      <c r="B9" s="407" t="s">
        <v>14</v>
      </c>
      <c r="C9" s="408"/>
      <c r="D9" s="408"/>
      <c r="E9" s="409"/>
      <c r="F9" s="213" t="s">
        <v>15</v>
      </c>
      <c r="G9" s="412" t="str">
        <f>IF('INPUT DATA'!F27="","",'INPUT DATA'!F27)</f>
        <v/>
      </c>
      <c r="H9" s="413"/>
      <c r="I9" s="413"/>
      <c r="J9" s="413"/>
      <c r="K9" s="414"/>
      <c r="L9" s="374" t="s">
        <v>19</v>
      </c>
      <c r="M9" s="375"/>
      <c r="N9" s="376"/>
      <c r="O9" s="380" t="str">
        <f>IF('INPUT DATA'!F29="","",'INPUT DATA'!F29)</f>
        <v/>
      </c>
      <c r="P9" s="381"/>
      <c r="Q9" s="381"/>
      <c r="R9" s="382"/>
      <c r="S9" s="201"/>
      <c r="T9" s="201"/>
      <c r="U9" s="201"/>
      <c r="V9" s="201"/>
      <c r="W9" s="201"/>
      <c r="X9" s="201"/>
      <c r="Y9" s="201"/>
      <c r="Z9" s="201"/>
      <c r="AA9" s="201"/>
      <c r="AB9" s="201"/>
      <c r="AC9" s="201"/>
    </row>
    <row r="10" spans="1:29" ht="14.4" thickBot="1">
      <c r="A10" s="201"/>
      <c r="B10" s="410"/>
      <c r="C10" s="411"/>
      <c r="D10" s="411"/>
      <c r="E10" s="409"/>
      <c r="F10" s="214" t="s">
        <v>115</v>
      </c>
      <c r="G10" s="415" t="str">
        <f>IF('INPUT DATA'!F28="","",'INPUT DATA'!F28)</f>
        <v/>
      </c>
      <c r="H10" s="416"/>
      <c r="I10" s="416"/>
      <c r="J10" s="416"/>
      <c r="K10" s="417"/>
      <c r="L10" s="432" t="s">
        <v>17</v>
      </c>
      <c r="M10" s="433"/>
      <c r="N10" s="434"/>
      <c r="O10" s="377" t="str">
        <f>IF('INPUT DATA'!F26="","",'INPUT DATA'!F26)</f>
        <v/>
      </c>
      <c r="P10" s="378"/>
      <c r="Q10" s="378"/>
      <c r="R10" s="379"/>
      <c r="S10" s="201"/>
      <c r="T10" s="201"/>
      <c r="U10" s="201"/>
      <c r="V10" s="201"/>
      <c r="W10" s="201"/>
      <c r="X10" s="201"/>
      <c r="Y10" s="201"/>
      <c r="Z10" s="201"/>
      <c r="AA10" s="201"/>
      <c r="AB10" s="201"/>
      <c r="AC10" s="201"/>
    </row>
    <row r="11" spans="1:29" ht="14.4" customHeight="1" thickBot="1">
      <c r="A11" s="202"/>
      <c r="B11" s="390" t="s">
        <v>20</v>
      </c>
      <c r="C11" s="391"/>
      <c r="D11" s="391"/>
      <c r="E11" s="391"/>
      <c r="F11" s="394" t="s">
        <v>11</v>
      </c>
      <c r="G11" s="395"/>
      <c r="H11" s="400" t="s">
        <v>21</v>
      </c>
      <c r="I11" s="422" t="s">
        <v>22</v>
      </c>
      <c r="J11" s="425" t="s">
        <v>99</v>
      </c>
      <c r="K11" s="428" t="s">
        <v>23</v>
      </c>
      <c r="L11" s="429"/>
      <c r="M11" s="429"/>
      <c r="N11" s="429"/>
      <c r="O11" s="429"/>
      <c r="P11" s="429"/>
      <c r="Q11" s="429"/>
      <c r="R11" s="395"/>
      <c r="S11" s="215"/>
      <c r="T11" s="202"/>
      <c r="U11" s="202"/>
      <c r="V11" s="202"/>
      <c r="W11" s="202"/>
      <c r="X11" s="202"/>
      <c r="Y11" s="202"/>
      <c r="Z11" s="202"/>
      <c r="AA11" s="202"/>
      <c r="AB11" s="202"/>
      <c r="AC11" s="202"/>
    </row>
    <row r="12" spans="1:29" ht="25.2" customHeight="1" thickBot="1">
      <c r="A12" s="202"/>
      <c r="B12" s="392"/>
      <c r="C12" s="393"/>
      <c r="D12" s="393"/>
      <c r="E12" s="393"/>
      <c r="F12" s="396"/>
      <c r="G12" s="397"/>
      <c r="H12" s="401"/>
      <c r="I12" s="423"/>
      <c r="J12" s="426"/>
      <c r="K12" s="387" t="s">
        <v>102</v>
      </c>
      <c r="L12" s="430"/>
      <c r="M12" s="430"/>
      <c r="N12" s="388"/>
      <c r="O12" s="388"/>
      <c r="P12" s="388"/>
      <c r="Q12" s="431"/>
      <c r="R12" s="216" t="s">
        <v>106</v>
      </c>
      <c r="S12" s="215"/>
      <c r="T12" s="202"/>
      <c r="U12" s="202"/>
      <c r="V12" s="202"/>
      <c r="W12" s="202"/>
      <c r="X12" s="202"/>
      <c r="Y12" s="202"/>
      <c r="Z12" s="202"/>
      <c r="AA12" s="202"/>
      <c r="AB12" s="202"/>
      <c r="AC12" s="202"/>
    </row>
    <row r="13" spans="1:29" ht="25.2" customHeight="1" thickBot="1">
      <c r="A13" s="202"/>
      <c r="B13" s="392"/>
      <c r="C13" s="393"/>
      <c r="D13" s="393"/>
      <c r="E13" s="393"/>
      <c r="F13" s="396"/>
      <c r="G13" s="397"/>
      <c r="H13" s="401"/>
      <c r="I13" s="423"/>
      <c r="J13" s="426"/>
      <c r="K13" s="387" t="s">
        <v>230</v>
      </c>
      <c r="L13" s="388"/>
      <c r="M13" s="389"/>
      <c r="N13" s="383" t="s">
        <v>103</v>
      </c>
      <c r="O13" s="383" t="s">
        <v>104</v>
      </c>
      <c r="P13" s="383" t="s">
        <v>105</v>
      </c>
      <c r="Q13" s="385" t="s">
        <v>113</v>
      </c>
      <c r="R13" s="383" t="s">
        <v>107</v>
      </c>
      <c r="S13" s="215"/>
      <c r="T13" s="202"/>
      <c r="U13" s="202"/>
      <c r="V13" s="202"/>
      <c r="W13" s="202"/>
      <c r="X13" s="202"/>
      <c r="Y13" s="202"/>
      <c r="Z13" s="202"/>
      <c r="AA13" s="202"/>
      <c r="AB13" s="202"/>
      <c r="AC13" s="202"/>
    </row>
    <row r="14" spans="1:29" ht="25.2" customHeight="1" thickBot="1">
      <c r="A14" s="202"/>
      <c r="B14" s="392"/>
      <c r="C14" s="393"/>
      <c r="D14" s="393"/>
      <c r="E14" s="393"/>
      <c r="F14" s="398"/>
      <c r="G14" s="399"/>
      <c r="H14" s="402"/>
      <c r="I14" s="424"/>
      <c r="J14" s="427"/>
      <c r="K14" s="217" t="s">
        <v>229</v>
      </c>
      <c r="L14" s="218" t="s">
        <v>111</v>
      </c>
      <c r="M14" s="219" t="s">
        <v>112</v>
      </c>
      <c r="N14" s="384"/>
      <c r="O14" s="384"/>
      <c r="P14" s="384"/>
      <c r="Q14" s="386"/>
      <c r="R14" s="384"/>
      <c r="S14" s="215"/>
      <c r="T14" s="202"/>
      <c r="U14" s="202"/>
      <c r="V14" s="202"/>
      <c r="W14" s="202"/>
      <c r="X14" s="202"/>
      <c r="Y14" s="202"/>
      <c r="Z14" s="202"/>
      <c r="AA14" s="202"/>
      <c r="AB14" s="202"/>
      <c r="AC14" s="202"/>
    </row>
    <row r="15" spans="1:29" ht="16.2" thickBot="1">
      <c r="A15" s="203"/>
      <c r="B15" s="418" t="s">
        <v>10</v>
      </c>
      <c r="C15" s="419"/>
      <c r="D15" s="419"/>
      <c r="E15" s="419"/>
      <c r="F15" s="420"/>
      <c r="G15" s="420"/>
      <c r="H15" s="420"/>
      <c r="I15" s="408"/>
      <c r="J15" s="408"/>
      <c r="K15" s="420"/>
      <c r="L15" s="420"/>
      <c r="M15" s="420"/>
      <c r="N15" s="420"/>
      <c r="O15" s="420"/>
      <c r="P15" s="420"/>
      <c r="Q15" s="420"/>
      <c r="R15" s="421"/>
      <c r="S15" s="203"/>
      <c r="T15" s="203"/>
      <c r="U15" s="203"/>
      <c r="V15" s="203"/>
      <c r="W15" s="203"/>
      <c r="X15" s="203"/>
      <c r="Y15" s="203"/>
      <c r="Z15" s="203"/>
      <c r="AA15" s="203"/>
      <c r="AB15" s="203"/>
      <c r="AC15" s="203"/>
    </row>
    <row r="16" spans="1:29" ht="15">
      <c r="A16" s="203"/>
      <c r="B16" s="220">
        <v>1</v>
      </c>
      <c r="C16" s="369" t="str">
        <f>IF('INPUT DATA'!L11="","",'INPUT DATA'!L11)</f>
        <v/>
      </c>
      <c r="D16" s="370"/>
      <c r="E16" s="371"/>
      <c r="F16" s="372" t="str">
        <f>IF('INPUT DATA'!M11="","",'INPUT DATA'!M11)</f>
        <v/>
      </c>
      <c r="G16" s="373"/>
      <c r="H16" s="175" t="str">
        <f>IF('INPUT DATA'!N11="","",'INPUT DATA'!N11)</f>
        <v/>
      </c>
      <c r="I16" s="39" t="str">
        <f ca="1">IF(H16="","",DATEDIF(H16,TODAY(),"Y"))</f>
        <v/>
      </c>
      <c r="J16" s="222" t="s">
        <v>100</v>
      </c>
      <c r="K16" s="91"/>
      <c r="L16" s="92"/>
      <c r="M16" s="92"/>
      <c r="N16" s="92"/>
      <c r="O16" s="92"/>
      <c r="P16" s="92"/>
      <c r="Q16" s="92"/>
      <c r="R16" s="93"/>
      <c r="S16" s="203"/>
      <c r="T16" s="203"/>
      <c r="U16" s="203"/>
      <c r="V16" s="203"/>
      <c r="W16" s="203"/>
      <c r="X16" s="203"/>
      <c r="Y16" s="203"/>
      <c r="Z16" s="203"/>
      <c r="AA16" s="203"/>
      <c r="AB16" s="203"/>
      <c r="AC16" s="203"/>
    </row>
    <row r="17" spans="1:29" ht="15">
      <c r="A17" s="203"/>
      <c r="B17" s="223">
        <v>2</v>
      </c>
      <c r="C17" s="369" t="str">
        <f>IF('INPUT DATA'!L12="","",'INPUT DATA'!L12)</f>
        <v/>
      </c>
      <c r="D17" s="370"/>
      <c r="E17" s="371"/>
      <c r="F17" s="372" t="str">
        <f>IF('INPUT DATA'!M12="","",'INPUT DATA'!M12)</f>
        <v/>
      </c>
      <c r="G17" s="373"/>
      <c r="H17" s="176" t="str">
        <f>IF('INPUT DATA'!N12="","",'INPUT DATA'!N12)</f>
        <v/>
      </c>
      <c r="I17" s="40" t="str">
        <f t="shared" ref="I17:I80" ca="1" si="0">IF(H17="","",DATEDIF(H17,TODAY(),"Y"))</f>
        <v/>
      </c>
      <c r="J17" s="225" t="s">
        <v>100</v>
      </c>
      <c r="K17" s="94"/>
      <c r="L17" s="95"/>
      <c r="M17" s="95"/>
      <c r="N17" s="95"/>
      <c r="O17" s="95"/>
      <c r="P17" s="95"/>
      <c r="Q17" s="95"/>
      <c r="R17" s="96"/>
      <c r="S17" s="203"/>
      <c r="T17" s="203"/>
      <c r="U17" s="203"/>
      <c r="V17" s="203"/>
      <c r="W17" s="203"/>
      <c r="X17" s="203"/>
      <c r="Y17" s="203"/>
      <c r="Z17" s="203"/>
      <c r="AA17" s="203"/>
      <c r="AB17" s="203"/>
      <c r="AC17" s="203"/>
    </row>
    <row r="18" spans="1:29" ht="15">
      <c r="A18" s="203"/>
      <c r="B18" s="223">
        <v>3</v>
      </c>
      <c r="C18" s="369" t="str">
        <f>IF('INPUT DATA'!L13="","",'INPUT DATA'!L13)</f>
        <v/>
      </c>
      <c r="D18" s="370"/>
      <c r="E18" s="371"/>
      <c r="F18" s="372" t="str">
        <f>IF('INPUT DATA'!M13="","",'INPUT DATA'!M13)</f>
        <v/>
      </c>
      <c r="G18" s="373"/>
      <c r="H18" s="176" t="str">
        <f>IF('INPUT DATA'!N13="","",'INPUT DATA'!N13)</f>
        <v/>
      </c>
      <c r="I18" s="40" t="str">
        <f t="shared" ca="1" si="0"/>
        <v/>
      </c>
      <c r="J18" s="225" t="s">
        <v>100</v>
      </c>
      <c r="K18" s="94"/>
      <c r="L18" s="95"/>
      <c r="M18" s="95"/>
      <c r="N18" s="95"/>
      <c r="O18" s="95"/>
      <c r="P18" s="95"/>
      <c r="Q18" s="95"/>
      <c r="R18" s="96"/>
      <c r="S18" s="203"/>
      <c r="T18" s="203"/>
      <c r="U18" s="203"/>
      <c r="V18" s="203"/>
      <c r="W18" s="203"/>
      <c r="X18" s="203"/>
      <c r="Y18" s="203"/>
      <c r="Z18" s="203"/>
      <c r="AA18" s="203"/>
      <c r="AB18" s="203"/>
      <c r="AC18" s="203"/>
    </row>
    <row r="19" spans="1:29" ht="15">
      <c r="A19" s="203"/>
      <c r="B19" s="223">
        <v>4</v>
      </c>
      <c r="C19" s="369" t="str">
        <f>IF('INPUT DATA'!L14="","",'INPUT DATA'!L14)</f>
        <v/>
      </c>
      <c r="D19" s="370"/>
      <c r="E19" s="371"/>
      <c r="F19" s="372" t="str">
        <f>IF('INPUT DATA'!M14="","",'INPUT DATA'!M14)</f>
        <v/>
      </c>
      <c r="G19" s="373"/>
      <c r="H19" s="176" t="str">
        <f>IF('INPUT DATA'!N14="","",'INPUT DATA'!N14)</f>
        <v/>
      </c>
      <c r="I19" s="40" t="str">
        <f t="shared" ca="1" si="0"/>
        <v/>
      </c>
      <c r="J19" s="225" t="s">
        <v>100</v>
      </c>
      <c r="K19" s="94"/>
      <c r="L19" s="95"/>
      <c r="M19" s="95"/>
      <c r="N19" s="95"/>
      <c r="O19" s="95"/>
      <c r="P19" s="95"/>
      <c r="Q19" s="95"/>
      <c r="R19" s="96"/>
      <c r="S19" s="203"/>
      <c r="T19" s="203"/>
      <c r="U19" s="203"/>
      <c r="V19" s="203"/>
      <c r="W19" s="203"/>
      <c r="X19" s="203"/>
      <c r="Y19" s="203"/>
      <c r="Z19" s="203"/>
      <c r="AA19" s="203"/>
      <c r="AB19" s="203"/>
      <c r="AC19" s="203"/>
    </row>
    <row r="20" spans="1:29" ht="15">
      <c r="A20" s="203"/>
      <c r="B20" s="223">
        <v>5</v>
      </c>
      <c r="C20" s="369" t="str">
        <f>IF('INPUT DATA'!L15="","",'INPUT DATA'!L15)</f>
        <v/>
      </c>
      <c r="D20" s="370"/>
      <c r="E20" s="371"/>
      <c r="F20" s="372" t="str">
        <f>IF('INPUT DATA'!M15="","",'INPUT DATA'!M15)</f>
        <v/>
      </c>
      <c r="G20" s="373"/>
      <c r="H20" s="176" t="str">
        <f>IF('INPUT DATA'!N15="","",'INPUT DATA'!N15)</f>
        <v/>
      </c>
      <c r="I20" s="40" t="str">
        <f t="shared" ca="1" si="0"/>
        <v/>
      </c>
      <c r="J20" s="225" t="s">
        <v>100</v>
      </c>
      <c r="K20" s="94"/>
      <c r="L20" s="95"/>
      <c r="M20" s="95"/>
      <c r="N20" s="95"/>
      <c r="O20" s="95"/>
      <c r="P20" s="95"/>
      <c r="Q20" s="95"/>
      <c r="R20" s="96"/>
      <c r="S20" s="203"/>
      <c r="T20" s="203"/>
      <c r="U20" s="203"/>
      <c r="V20" s="203"/>
      <c r="W20" s="203"/>
      <c r="X20" s="203"/>
      <c r="Y20" s="203"/>
      <c r="Z20" s="203"/>
      <c r="AA20" s="203"/>
      <c r="AB20" s="203"/>
      <c r="AC20" s="203"/>
    </row>
    <row r="21" spans="1:29" ht="15">
      <c r="A21" s="203"/>
      <c r="B21" s="223">
        <v>6</v>
      </c>
      <c r="C21" s="369" t="str">
        <f>IF('INPUT DATA'!L16="","",'INPUT DATA'!L16)</f>
        <v/>
      </c>
      <c r="D21" s="370"/>
      <c r="E21" s="371"/>
      <c r="F21" s="372" t="str">
        <f>IF('INPUT DATA'!M16="","",'INPUT DATA'!M16)</f>
        <v/>
      </c>
      <c r="G21" s="373"/>
      <c r="H21" s="176" t="str">
        <f>IF('INPUT DATA'!N16="","",'INPUT DATA'!N16)</f>
        <v/>
      </c>
      <c r="I21" s="40" t="str">
        <f t="shared" ca="1" si="0"/>
        <v/>
      </c>
      <c r="J21" s="225"/>
      <c r="K21" s="94"/>
      <c r="L21" s="95"/>
      <c r="M21" s="95"/>
      <c r="N21" s="95"/>
      <c r="O21" s="95"/>
      <c r="P21" s="95"/>
      <c r="Q21" s="95"/>
      <c r="R21" s="96"/>
      <c r="S21" s="203"/>
      <c r="T21" s="203"/>
      <c r="U21" s="203"/>
      <c r="V21" s="203"/>
      <c r="W21" s="203"/>
      <c r="X21" s="203"/>
      <c r="Y21" s="203"/>
      <c r="Z21" s="203"/>
      <c r="AA21" s="203"/>
      <c r="AB21" s="203"/>
      <c r="AC21" s="203"/>
    </row>
    <row r="22" spans="1:29" ht="15">
      <c r="A22" s="203"/>
      <c r="B22" s="223">
        <v>7</v>
      </c>
      <c r="C22" s="369" t="str">
        <f>IF('INPUT DATA'!L17="","",'INPUT DATA'!L17)</f>
        <v/>
      </c>
      <c r="D22" s="370"/>
      <c r="E22" s="371"/>
      <c r="F22" s="372" t="str">
        <f>IF('INPUT DATA'!M17="","",'INPUT DATA'!M17)</f>
        <v/>
      </c>
      <c r="G22" s="373"/>
      <c r="H22" s="176" t="str">
        <f>IF('INPUT DATA'!N17="","",'INPUT DATA'!N17)</f>
        <v/>
      </c>
      <c r="I22" s="40" t="str">
        <f t="shared" ca="1" si="0"/>
        <v/>
      </c>
      <c r="J22" s="225"/>
      <c r="K22" s="94"/>
      <c r="L22" s="95"/>
      <c r="M22" s="95"/>
      <c r="N22" s="95"/>
      <c r="O22" s="95"/>
      <c r="P22" s="95"/>
      <c r="Q22" s="95"/>
      <c r="R22" s="96"/>
      <c r="S22" s="203"/>
      <c r="T22" s="203"/>
      <c r="U22" s="203"/>
      <c r="V22" s="203"/>
      <c r="W22" s="203"/>
      <c r="X22" s="203"/>
      <c r="Y22" s="203"/>
      <c r="Z22" s="203"/>
      <c r="AA22" s="203"/>
      <c r="AB22" s="203"/>
      <c r="AC22" s="203"/>
    </row>
    <row r="23" spans="1:29" ht="15">
      <c r="A23" s="203"/>
      <c r="B23" s="223">
        <v>8</v>
      </c>
      <c r="C23" s="369" t="str">
        <f>IF('INPUT DATA'!L18="","",'INPUT DATA'!L18)</f>
        <v/>
      </c>
      <c r="D23" s="370"/>
      <c r="E23" s="371"/>
      <c r="F23" s="372" t="str">
        <f>IF('INPUT DATA'!M18="","",'INPUT DATA'!M18)</f>
        <v/>
      </c>
      <c r="G23" s="373"/>
      <c r="H23" s="176" t="str">
        <f>IF('INPUT DATA'!N18="","",'INPUT DATA'!N18)</f>
        <v/>
      </c>
      <c r="I23" s="40" t="str">
        <f t="shared" ca="1" si="0"/>
        <v/>
      </c>
      <c r="J23" s="225"/>
      <c r="K23" s="94"/>
      <c r="L23" s="95"/>
      <c r="M23" s="95"/>
      <c r="N23" s="95"/>
      <c r="O23" s="95"/>
      <c r="P23" s="95"/>
      <c r="Q23" s="95"/>
      <c r="R23" s="96"/>
      <c r="S23" s="203"/>
      <c r="T23" s="203"/>
      <c r="U23" s="203"/>
      <c r="V23" s="203"/>
      <c r="W23" s="203"/>
      <c r="X23" s="203"/>
      <c r="Y23" s="203"/>
      <c r="Z23" s="203"/>
      <c r="AA23" s="203"/>
      <c r="AB23" s="203"/>
      <c r="AC23" s="203"/>
    </row>
    <row r="24" spans="1:29" ht="15">
      <c r="A24" s="203"/>
      <c r="B24" s="223">
        <v>9</v>
      </c>
      <c r="C24" s="369" t="str">
        <f>IF('INPUT DATA'!L19="","",'INPUT DATA'!L19)</f>
        <v/>
      </c>
      <c r="D24" s="370"/>
      <c r="E24" s="371"/>
      <c r="F24" s="372" t="str">
        <f>IF('INPUT DATA'!M19="","",'INPUT DATA'!M19)</f>
        <v/>
      </c>
      <c r="G24" s="373"/>
      <c r="H24" s="176" t="str">
        <f>IF('INPUT DATA'!N19="","",'INPUT DATA'!N19)</f>
        <v/>
      </c>
      <c r="I24" s="40" t="str">
        <f t="shared" ca="1" si="0"/>
        <v/>
      </c>
      <c r="J24" s="225"/>
      <c r="K24" s="94"/>
      <c r="L24" s="95"/>
      <c r="M24" s="95"/>
      <c r="N24" s="95"/>
      <c r="O24" s="95"/>
      <c r="P24" s="95"/>
      <c r="Q24" s="95"/>
      <c r="R24" s="96"/>
      <c r="S24" s="203"/>
      <c r="T24" s="203"/>
      <c r="U24" s="203"/>
      <c r="V24" s="203"/>
      <c r="W24" s="203"/>
      <c r="X24" s="203"/>
      <c r="Y24" s="203"/>
      <c r="Z24" s="203"/>
      <c r="AA24" s="203"/>
      <c r="AB24" s="203"/>
      <c r="AC24" s="203"/>
    </row>
    <row r="25" spans="1:29" ht="15">
      <c r="A25" s="203"/>
      <c r="B25" s="223">
        <v>10</v>
      </c>
      <c r="C25" s="369" t="str">
        <f>IF('INPUT DATA'!L20="","",'INPUT DATA'!L20)</f>
        <v/>
      </c>
      <c r="D25" s="370"/>
      <c r="E25" s="371"/>
      <c r="F25" s="372" t="str">
        <f>IF('INPUT DATA'!M20="","",'INPUT DATA'!M20)</f>
        <v/>
      </c>
      <c r="G25" s="373"/>
      <c r="H25" s="176" t="str">
        <f>IF('INPUT DATA'!N20="","",'INPUT DATA'!N20)</f>
        <v/>
      </c>
      <c r="I25" s="40" t="str">
        <f t="shared" ca="1" si="0"/>
        <v/>
      </c>
      <c r="J25" s="225"/>
      <c r="K25" s="94"/>
      <c r="L25" s="95"/>
      <c r="M25" s="95"/>
      <c r="N25" s="95"/>
      <c r="O25" s="95"/>
      <c r="P25" s="95"/>
      <c r="Q25" s="95"/>
      <c r="R25" s="96"/>
      <c r="S25" s="203"/>
      <c r="T25" s="203"/>
      <c r="U25" s="203"/>
      <c r="V25" s="203"/>
      <c r="W25" s="203"/>
      <c r="X25" s="203"/>
      <c r="Y25" s="203"/>
      <c r="Z25" s="203"/>
      <c r="AA25" s="203"/>
      <c r="AB25" s="203"/>
      <c r="AC25" s="203"/>
    </row>
    <row r="26" spans="1:29" ht="15">
      <c r="A26" s="203"/>
      <c r="B26" s="223">
        <v>11</v>
      </c>
      <c r="C26" s="369" t="str">
        <f>IF('INPUT DATA'!L21="","",'INPUT DATA'!L21)</f>
        <v/>
      </c>
      <c r="D26" s="370"/>
      <c r="E26" s="371"/>
      <c r="F26" s="372" t="str">
        <f>IF('INPUT DATA'!M21="","",'INPUT DATA'!M21)</f>
        <v/>
      </c>
      <c r="G26" s="373"/>
      <c r="H26" s="176" t="str">
        <f>IF('INPUT DATA'!N21="","",'INPUT DATA'!N21)</f>
        <v/>
      </c>
      <c r="I26" s="40" t="str">
        <f t="shared" ca="1" si="0"/>
        <v/>
      </c>
      <c r="J26" s="225"/>
      <c r="K26" s="94"/>
      <c r="L26" s="95"/>
      <c r="M26" s="95"/>
      <c r="N26" s="95"/>
      <c r="O26" s="95"/>
      <c r="P26" s="95"/>
      <c r="Q26" s="95"/>
      <c r="R26" s="96"/>
      <c r="S26" s="203"/>
      <c r="T26" s="203"/>
      <c r="U26" s="203"/>
      <c r="V26" s="203"/>
      <c r="W26" s="203"/>
      <c r="X26" s="203"/>
      <c r="Y26" s="203"/>
      <c r="Z26" s="203"/>
      <c r="AA26" s="203"/>
      <c r="AB26" s="203"/>
      <c r="AC26" s="203"/>
    </row>
    <row r="27" spans="1:29" ht="15">
      <c r="A27" s="203"/>
      <c r="B27" s="223">
        <v>12</v>
      </c>
      <c r="C27" s="369" t="str">
        <f>IF('INPUT DATA'!L22="","",'INPUT DATA'!L22)</f>
        <v/>
      </c>
      <c r="D27" s="370"/>
      <c r="E27" s="371"/>
      <c r="F27" s="372" t="str">
        <f>IF('INPUT DATA'!M22="","",'INPUT DATA'!M22)</f>
        <v/>
      </c>
      <c r="G27" s="373"/>
      <c r="H27" s="176" t="str">
        <f>IF('INPUT DATA'!N22="","",'INPUT DATA'!N22)</f>
        <v/>
      </c>
      <c r="I27" s="40" t="str">
        <f t="shared" ca="1" si="0"/>
        <v/>
      </c>
      <c r="J27" s="225"/>
      <c r="K27" s="94"/>
      <c r="L27" s="95"/>
      <c r="M27" s="95"/>
      <c r="N27" s="95"/>
      <c r="O27" s="95"/>
      <c r="P27" s="95"/>
      <c r="Q27" s="95"/>
      <c r="R27" s="96"/>
      <c r="S27" s="203"/>
      <c r="T27" s="203"/>
      <c r="U27" s="203"/>
      <c r="V27" s="203"/>
      <c r="W27" s="203"/>
      <c r="X27" s="203"/>
      <c r="Y27" s="203"/>
      <c r="Z27" s="203"/>
      <c r="AA27" s="203"/>
      <c r="AB27" s="203"/>
      <c r="AC27" s="203"/>
    </row>
    <row r="28" spans="1:29" ht="15">
      <c r="A28" s="203"/>
      <c r="B28" s="223">
        <v>13</v>
      </c>
      <c r="C28" s="369" t="str">
        <f>IF('INPUT DATA'!L23="","",'INPUT DATA'!L23)</f>
        <v/>
      </c>
      <c r="D28" s="370"/>
      <c r="E28" s="371"/>
      <c r="F28" s="372" t="str">
        <f>IF('INPUT DATA'!M23="","",'INPUT DATA'!M23)</f>
        <v/>
      </c>
      <c r="G28" s="373"/>
      <c r="H28" s="176" t="str">
        <f>IF('INPUT DATA'!N23="","",'INPUT DATA'!N23)</f>
        <v/>
      </c>
      <c r="I28" s="40" t="str">
        <f t="shared" ca="1" si="0"/>
        <v/>
      </c>
      <c r="J28" s="225"/>
      <c r="K28" s="94"/>
      <c r="L28" s="95"/>
      <c r="M28" s="95"/>
      <c r="N28" s="95"/>
      <c r="O28" s="95"/>
      <c r="P28" s="95"/>
      <c r="Q28" s="95"/>
      <c r="R28" s="96"/>
      <c r="S28" s="203"/>
      <c r="T28" s="203"/>
      <c r="U28" s="203"/>
      <c r="V28" s="203"/>
      <c r="W28" s="203"/>
      <c r="X28" s="203"/>
      <c r="Y28" s="203"/>
      <c r="Z28" s="203"/>
      <c r="AA28" s="203"/>
      <c r="AB28" s="203"/>
      <c r="AC28" s="203"/>
    </row>
    <row r="29" spans="1:29" ht="15">
      <c r="A29" s="203"/>
      <c r="B29" s="223">
        <v>14</v>
      </c>
      <c r="C29" s="369" t="str">
        <f>IF('INPUT DATA'!L24="","",'INPUT DATA'!L24)</f>
        <v/>
      </c>
      <c r="D29" s="370"/>
      <c r="E29" s="371"/>
      <c r="F29" s="372" t="str">
        <f>IF('INPUT DATA'!M24="","",'INPUT DATA'!M24)</f>
        <v/>
      </c>
      <c r="G29" s="373"/>
      <c r="H29" s="176" t="str">
        <f>IF('INPUT DATA'!N24="","",'INPUT DATA'!N24)</f>
        <v/>
      </c>
      <c r="I29" s="40" t="str">
        <f t="shared" ca="1" si="0"/>
        <v/>
      </c>
      <c r="J29" s="225"/>
      <c r="K29" s="94"/>
      <c r="L29" s="95"/>
      <c r="M29" s="95"/>
      <c r="N29" s="95"/>
      <c r="O29" s="95"/>
      <c r="P29" s="95"/>
      <c r="Q29" s="95"/>
      <c r="R29" s="96"/>
      <c r="S29" s="203"/>
      <c r="T29" s="203"/>
      <c r="U29" s="203"/>
      <c r="V29" s="203"/>
      <c r="W29" s="203"/>
      <c r="X29" s="203"/>
      <c r="Y29" s="203"/>
      <c r="Z29" s="203"/>
      <c r="AA29" s="203"/>
      <c r="AB29" s="203"/>
      <c r="AC29" s="203"/>
    </row>
    <row r="30" spans="1:29" ht="15">
      <c r="A30" s="203"/>
      <c r="B30" s="223">
        <v>15</v>
      </c>
      <c r="C30" s="369" t="str">
        <f>IF('INPUT DATA'!L25="","",'INPUT DATA'!L25)</f>
        <v/>
      </c>
      <c r="D30" s="370"/>
      <c r="E30" s="371"/>
      <c r="F30" s="372" t="str">
        <f>IF('INPUT DATA'!M25="","",'INPUT DATA'!M25)</f>
        <v/>
      </c>
      <c r="G30" s="373"/>
      <c r="H30" s="176" t="str">
        <f>IF('INPUT DATA'!N25="","",'INPUT DATA'!N25)</f>
        <v/>
      </c>
      <c r="I30" s="40" t="str">
        <f t="shared" ca="1" si="0"/>
        <v/>
      </c>
      <c r="J30" s="225"/>
      <c r="K30" s="94"/>
      <c r="L30" s="95"/>
      <c r="M30" s="95"/>
      <c r="N30" s="95"/>
      <c r="O30" s="95"/>
      <c r="P30" s="95"/>
      <c r="Q30" s="95"/>
      <c r="R30" s="96"/>
      <c r="S30" s="203"/>
      <c r="T30" s="203"/>
      <c r="U30" s="203"/>
      <c r="V30" s="203"/>
      <c r="W30" s="203"/>
      <c r="X30" s="203"/>
      <c r="Y30" s="203"/>
      <c r="Z30" s="203"/>
      <c r="AA30" s="203"/>
      <c r="AB30" s="203"/>
      <c r="AC30" s="203"/>
    </row>
    <row r="31" spans="1:29" ht="15">
      <c r="A31" s="203"/>
      <c r="B31" s="223">
        <v>16</v>
      </c>
      <c r="C31" s="369" t="str">
        <f>IF('INPUT DATA'!L26="","",'INPUT DATA'!L26)</f>
        <v/>
      </c>
      <c r="D31" s="370"/>
      <c r="E31" s="371"/>
      <c r="F31" s="372" t="str">
        <f>IF('INPUT DATA'!M26="","",'INPUT DATA'!M26)</f>
        <v/>
      </c>
      <c r="G31" s="373"/>
      <c r="H31" s="176" t="str">
        <f>IF('INPUT DATA'!N26="","",'INPUT DATA'!N26)</f>
        <v/>
      </c>
      <c r="I31" s="40" t="str">
        <f t="shared" ca="1" si="0"/>
        <v/>
      </c>
      <c r="J31" s="225"/>
      <c r="K31" s="94"/>
      <c r="L31" s="95"/>
      <c r="M31" s="95"/>
      <c r="N31" s="95"/>
      <c r="O31" s="95"/>
      <c r="P31" s="95"/>
      <c r="Q31" s="95"/>
      <c r="R31" s="96"/>
      <c r="S31" s="203"/>
      <c r="T31" s="203"/>
      <c r="U31" s="203"/>
      <c r="V31" s="203"/>
      <c r="W31" s="203"/>
      <c r="X31" s="203"/>
      <c r="Y31" s="203"/>
      <c r="Z31" s="203"/>
      <c r="AA31" s="203"/>
      <c r="AB31" s="203"/>
      <c r="AC31" s="203"/>
    </row>
    <row r="32" spans="1:29" ht="15">
      <c r="A32" s="203"/>
      <c r="B32" s="223">
        <v>17</v>
      </c>
      <c r="C32" s="369" t="str">
        <f>IF('INPUT DATA'!L27="","",'INPUT DATA'!L27)</f>
        <v/>
      </c>
      <c r="D32" s="370"/>
      <c r="E32" s="371"/>
      <c r="F32" s="372" t="str">
        <f>IF('INPUT DATA'!M27="","",'INPUT DATA'!M27)</f>
        <v/>
      </c>
      <c r="G32" s="373"/>
      <c r="H32" s="176" t="str">
        <f>IF('INPUT DATA'!N27="","",'INPUT DATA'!N27)</f>
        <v/>
      </c>
      <c r="I32" s="40" t="str">
        <f t="shared" ca="1" si="0"/>
        <v/>
      </c>
      <c r="J32" s="225"/>
      <c r="K32" s="94"/>
      <c r="L32" s="95"/>
      <c r="M32" s="95"/>
      <c r="N32" s="95"/>
      <c r="O32" s="95"/>
      <c r="P32" s="95"/>
      <c r="Q32" s="95"/>
      <c r="R32" s="96"/>
      <c r="S32" s="203"/>
      <c r="T32" s="203"/>
      <c r="U32" s="203"/>
      <c r="V32" s="203"/>
      <c r="W32" s="203"/>
      <c r="X32" s="203"/>
      <c r="Y32" s="203"/>
      <c r="Z32" s="203"/>
      <c r="AA32" s="203"/>
      <c r="AB32" s="203"/>
      <c r="AC32" s="203"/>
    </row>
    <row r="33" spans="1:29" ht="15">
      <c r="A33" s="203"/>
      <c r="B33" s="223">
        <v>18</v>
      </c>
      <c r="C33" s="369" t="str">
        <f>IF('INPUT DATA'!L28="","",'INPUT DATA'!L28)</f>
        <v/>
      </c>
      <c r="D33" s="370"/>
      <c r="E33" s="371"/>
      <c r="F33" s="372" t="str">
        <f>IF('INPUT DATA'!M28="","",'INPUT DATA'!M28)</f>
        <v/>
      </c>
      <c r="G33" s="373"/>
      <c r="H33" s="176" t="str">
        <f>IF('INPUT DATA'!N28="","",'INPUT DATA'!N28)</f>
        <v/>
      </c>
      <c r="I33" s="40" t="str">
        <f t="shared" ca="1" si="0"/>
        <v/>
      </c>
      <c r="J33" s="225"/>
      <c r="K33" s="94"/>
      <c r="L33" s="95"/>
      <c r="M33" s="95"/>
      <c r="N33" s="95"/>
      <c r="O33" s="95"/>
      <c r="P33" s="95"/>
      <c r="Q33" s="95"/>
      <c r="R33" s="96"/>
      <c r="S33" s="203"/>
      <c r="T33" s="203"/>
      <c r="U33" s="203"/>
      <c r="V33" s="203"/>
      <c r="W33" s="203"/>
      <c r="X33" s="203"/>
      <c r="Y33" s="203"/>
      <c r="Z33" s="203"/>
      <c r="AA33" s="203"/>
      <c r="AB33" s="203"/>
      <c r="AC33" s="203"/>
    </row>
    <row r="34" spans="1:29" ht="15">
      <c r="A34" s="203"/>
      <c r="B34" s="223">
        <v>19</v>
      </c>
      <c r="C34" s="369" t="str">
        <f>IF('INPUT DATA'!L29="","",'INPUT DATA'!L29)</f>
        <v/>
      </c>
      <c r="D34" s="370"/>
      <c r="E34" s="371"/>
      <c r="F34" s="372" t="str">
        <f>IF('INPUT DATA'!M29="","",'INPUT DATA'!M29)</f>
        <v/>
      </c>
      <c r="G34" s="373"/>
      <c r="H34" s="176" t="str">
        <f>IF('INPUT DATA'!N29="","",'INPUT DATA'!N29)</f>
        <v/>
      </c>
      <c r="I34" s="40" t="str">
        <f t="shared" ca="1" si="0"/>
        <v/>
      </c>
      <c r="J34" s="225"/>
      <c r="K34" s="94"/>
      <c r="L34" s="95"/>
      <c r="M34" s="95"/>
      <c r="N34" s="95"/>
      <c r="O34" s="95"/>
      <c r="P34" s="95"/>
      <c r="Q34" s="95"/>
      <c r="R34" s="96"/>
      <c r="S34" s="203"/>
      <c r="T34" s="203"/>
      <c r="U34" s="203"/>
      <c r="V34" s="203"/>
      <c r="W34" s="203"/>
      <c r="X34" s="203"/>
      <c r="Y34" s="203"/>
      <c r="Z34" s="203"/>
      <c r="AA34" s="203"/>
      <c r="AB34" s="203"/>
      <c r="AC34" s="203"/>
    </row>
    <row r="35" spans="1:29" ht="15">
      <c r="A35" s="203"/>
      <c r="B35" s="226">
        <v>20</v>
      </c>
      <c r="C35" s="369" t="str">
        <f>IF('INPUT DATA'!L30="","",'INPUT DATA'!L30)</f>
        <v/>
      </c>
      <c r="D35" s="370"/>
      <c r="E35" s="371"/>
      <c r="F35" s="372" t="str">
        <f>IF('INPUT DATA'!M30="","",'INPUT DATA'!M30)</f>
        <v/>
      </c>
      <c r="G35" s="373"/>
      <c r="H35" s="176" t="str">
        <f>IF('INPUT DATA'!N30="","",'INPUT DATA'!N30)</f>
        <v/>
      </c>
      <c r="I35" s="40" t="str">
        <f t="shared" ca="1" si="0"/>
        <v/>
      </c>
      <c r="J35" s="225"/>
      <c r="K35" s="97"/>
      <c r="L35" s="98"/>
      <c r="M35" s="98"/>
      <c r="N35" s="98"/>
      <c r="O35" s="98"/>
      <c r="P35" s="98"/>
      <c r="Q35" s="98"/>
      <c r="R35" s="99"/>
      <c r="S35" s="203"/>
      <c r="T35" s="203"/>
      <c r="U35" s="203"/>
      <c r="V35" s="203"/>
      <c r="W35" s="203"/>
      <c r="X35" s="203"/>
      <c r="Y35" s="203"/>
      <c r="Z35" s="203"/>
      <c r="AA35" s="203"/>
      <c r="AB35" s="203"/>
      <c r="AC35" s="203"/>
    </row>
    <row r="36" spans="1:29" ht="15">
      <c r="A36" s="203"/>
      <c r="B36" s="226">
        <v>21</v>
      </c>
      <c r="C36" s="369" t="str">
        <f>IF('INPUT DATA'!L31="","",'INPUT DATA'!L31)</f>
        <v/>
      </c>
      <c r="D36" s="370"/>
      <c r="E36" s="371"/>
      <c r="F36" s="372" t="str">
        <f>IF('INPUT DATA'!M31="","",'INPUT DATA'!M31)</f>
        <v/>
      </c>
      <c r="G36" s="373"/>
      <c r="H36" s="176" t="str">
        <f>IF('INPUT DATA'!N31="","",'INPUT DATA'!N31)</f>
        <v/>
      </c>
      <c r="I36" s="40" t="str">
        <f t="shared" ca="1" si="0"/>
        <v/>
      </c>
      <c r="J36" s="225"/>
      <c r="K36" s="94"/>
      <c r="L36" s="95"/>
      <c r="M36" s="95"/>
      <c r="N36" s="95"/>
      <c r="O36" s="95"/>
      <c r="P36" s="95"/>
      <c r="Q36" s="95"/>
      <c r="R36" s="96"/>
      <c r="S36" s="203"/>
      <c r="T36" s="203"/>
      <c r="U36" s="203"/>
      <c r="V36" s="203"/>
      <c r="W36" s="203"/>
      <c r="X36" s="203"/>
      <c r="Y36" s="203"/>
      <c r="Z36" s="203"/>
      <c r="AA36" s="203"/>
      <c r="AB36" s="203"/>
      <c r="AC36" s="203"/>
    </row>
    <row r="37" spans="1:29" ht="15">
      <c r="A37" s="203"/>
      <c r="B37" s="226">
        <v>22</v>
      </c>
      <c r="C37" s="369" t="str">
        <f>IF('INPUT DATA'!L32="","",'INPUT DATA'!L32)</f>
        <v/>
      </c>
      <c r="D37" s="370"/>
      <c r="E37" s="371"/>
      <c r="F37" s="372" t="str">
        <f>IF('INPUT DATA'!M32="","",'INPUT DATA'!M32)</f>
        <v/>
      </c>
      <c r="G37" s="373"/>
      <c r="H37" s="176" t="str">
        <f>IF('INPUT DATA'!N32="","",'INPUT DATA'!N32)</f>
        <v/>
      </c>
      <c r="I37" s="40" t="str">
        <f t="shared" ca="1" si="0"/>
        <v/>
      </c>
      <c r="J37" s="225"/>
      <c r="K37" s="94"/>
      <c r="L37" s="95"/>
      <c r="M37" s="95"/>
      <c r="N37" s="95"/>
      <c r="O37" s="95"/>
      <c r="P37" s="95"/>
      <c r="Q37" s="95"/>
      <c r="R37" s="96"/>
      <c r="S37" s="203"/>
      <c r="T37" s="203"/>
      <c r="U37" s="203"/>
      <c r="V37" s="203"/>
      <c r="W37" s="203"/>
      <c r="X37" s="203"/>
      <c r="Y37" s="203"/>
      <c r="Z37" s="203"/>
      <c r="AA37" s="203"/>
      <c r="AB37" s="203"/>
      <c r="AC37" s="203"/>
    </row>
    <row r="38" spans="1:29" ht="15">
      <c r="A38" s="203"/>
      <c r="B38" s="226">
        <v>23</v>
      </c>
      <c r="C38" s="369" t="str">
        <f>IF('INPUT DATA'!L33="","",'INPUT DATA'!L33)</f>
        <v/>
      </c>
      <c r="D38" s="370"/>
      <c r="E38" s="371"/>
      <c r="F38" s="372" t="str">
        <f>IF('INPUT DATA'!M33="","",'INPUT DATA'!M33)</f>
        <v/>
      </c>
      <c r="G38" s="373"/>
      <c r="H38" s="176" t="str">
        <f>IF('INPUT DATA'!N33="","",'INPUT DATA'!N33)</f>
        <v/>
      </c>
      <c r="I38" s="40" t="str">
        <f t="shared" ca="1" si="0"/>
        <v/>
      </c>
      <c r="J38" s="225"/>
      <c r="K38" s="94"/>
      <c r="L38" s="95"/>
      <c r="M38" s="95"/>
      <c r="N38" s="95"/>
      <c r="O38" s="95"/>
      <c r="P38" s="95"/>
      <c r="Q38" s="95"/>
      <c r="R38" s="96"/>
      <c r="S38" s="203"/>
      <c r="T38" s="203"/>
      <c r="U38" s="203"/>
      <c r="V38" s="203"/>
      <c r="W38" s="203"/>
      <c r="X38" s="203"/>
      <c r="Y38" s="203"/>
      <c r="Z38" s="203"/>
      <c r="AA38" s="203"/>
      <c r="AB38" s="203"/>
      <c r="AC38" s="203"/>
    </row>
    <row r="39" spans="1:29" ht="15">
      <c r="A39" s="203"/>
      <c r="B39" s="226">
        <v>24</v>
      </c>
      <c r="C39" s="369" t="str">
        <f>IF('INPUT DATA'!L34="","",'INPUT DATA'!L34)</f>
        <v/>
      </c>
      <c r="D39" s="370"/>
      <c r="E39" s="371"/>
      <c r="F39" s="372" t="str">
        <f>IF('INPUT DATA'!M34="","",'INPUT DATA'!M34)</f>
        <v/>
      </c>
      <c r="G39" s="373"/>
      <c r="H39" s="176" t="str">
        <f>IF('INPUT DATA'!N34="","",'INPUT DATA'!N34)</f>
        <v/>
      </c>
      <c r="I39" s="40" t="str">
        <f t="shared" ca="1" si="0"/>
        <v/>
      </c>
      <c r="J39" s="225"/>
      <c r="K39" s="94"/>
      <c r="L39" s="95"/>
      <c r="M39" s="95"/>
      <c r="N39" s="95"/>
      <c r="O39" s="95"/>
      <c r="P39" s="95"/>
      <c r="Q39" s="95"/>
      <c r="R39" s="96"/>
      <c r="S39" s="203"/>
      <c r="T39" s="203"/>
      <c r="U39" s="203"/>
      <c r="V39" s="203"/>
      <c r="W39" s="203"/>
      <c r="X39" s="203"/>
      <c r="Y39" s="203"/>
      <c r="Z39" s="203"/>
      <c r="AA39" s="203"/>
      <c r="AB39" s="203"/>
      <c r="AC39" s="203"/>
    </row>
    <row r="40" spans="1:29" ht="15">
      <c r="A40" s="203"/>
      <c r="B40" s="226">
        <v>25</v>
      </c>
      <c r="C40" s="369" t="str">
        <f>IF('INPUT DATA'!L35="","",'INPUT DATA'!L35)</f>
        <v/>
      </c>
      <c r="D40" s="370"/>
      <c r="E40" s="371"/>
      <c r="F40" s="372" t="str">
        <f>IF('INPUT DATA'!M35="","",'INPUT DATA'!M35)</f>
        <v/>
      </c>
      <c r="G40" s="373"/>
      <c r="H40" s="176" t="str">
        <f>IF('INPUT DATA'!N35="","",'INPUT DATA'!N35)</f>
        <v/>
      </c>
      <c r="I40" s="40" t="str">
        <f t="shared" ca="1" si="0"/>
        <v/>
      </c>
      <c r="J40" s="225"/>
      <c r="K40" s="94"/>
      <c r="L40" s="95"/>
      <c r="M40" s="95"/>
      <c r="N40" s="95"/>
      <c r="O40" s="95"/>
      <c r="P40" s="95"/>
      <c r="Q40" s="95"/>
      <c r="R40" s="96"/>
      <c r="S40" s="203"/>
      <c r="T40" s="203"/>
      <c r="U40" s="203"/>
      <c r="V40" s="203"/>
      <c r="W40" s="203"/>
      <c r="X40" s="203"/>
      <c r="Y40" s="203"/>
      <c r="Z40" s="203"/>
      <c r="AA40" s="203"/>
      <c r="AB40" s="203"/>
      <c r="AC40" s="203"/>
    </row>
    <row r="41" spans="1:29" ht="15">
      <c r="A41" s="203"/>
      <c r="B41" s="226">
        <v>26</v>
      </c>
      <c r="C41" s="369" t="str">
        <f>IF('INPUT DATA'!L36="","",'INPUT DATA'!L36)</f>
        <v/>
      </c>
      <c r="D41" s="370"/>
      <c r="E41" s="371"/>
      <c r="F41" s="372" t="str">
        <f>IF('INPUT DATA'!M36="","",'INPUT DATA'!M36)</f>
        <v/>
      </c>
      <c r="G41" s="373"/>
      <c r="H41" s="176" t="str">
        <f>IF('INPUT DATA'!N36="","",'INPUT DATA'!N36)</f>
        <v/>
      </c>
      <c r="I41" s="40" t="str">
        <f t="shared" ca="1" si="0"/>
        <v/>
      </c>
      <c r="J41" s="225"/>
      <c r="K41" s="94"/>
      <c r="L41" s="95"/>
      <c r="M41" s="95"/>
      <c r="N41" s="95"/>
      <c r="O41" s="95"/>
      <c r="P41" s="95"/>
      <c r="Q41" s="95"/>
      <c r="R41" s="96"/>
      <c r="S41" s="203"/>
      <c r="T41" s="203"/>
      <c r="U41" s="203"/>
      <c r="V41" s="203"/>
      <c r="W41" s="203"/>
      <c r="X41" s="203"/>
      <c r="Y41" s="203"/>
      <c r="Z41" s="203"/>
      <c r="AA41" s="203"/>
      <c r="AB41" s="203"/>
      <c r="AC41" s="203"/>
    </row>
    <row r="42" spans="1:29" ht="15">
      <c r="A42" s="203"/>
      <c r="B42" s="226">
        <v>27</v>
      </c>
      <c r="C42" s="369" t="str">
        <f>IF('INPUT DATA'!L37="","",'INPUT DATA'!L37)</f>
        <v/>
      </c>
      <c r="D42" s="370"/>
      <c r="E42" s="371"/>
      <c r="F42" s="372" t="str">
        <f>IF('INPUT DATA'!M37="","",'INPUT DATA'!M37)</f>
        <v/>
      </c>
      <c r="G42" s="373"/>
      <c r="H42" s="176" t="str">
        <f>IF('INPUT DATA'!N37="","",'INPUT DATA'!N37)</f>
        <v/>
      </c>
      <c r="I42" s="40" t="str">
        <f t="shared" ca="1" si="0"/>
        <v/>
      </c>
      <c r="J42" s="225"/>
      <c r="K42" s="94"/>
      <c r="L42" s="95"/>
      <c r="M42" s="95"/>
      <c r="N42" s="95"/>
      <c r="O42" s="95"/>
      <c r="P42" s="95"/>
      <c r="Q42" s="95"/>
      <c r="R42" s="96"/>
      <c r="S42" s="203"/>
      <c r="T42" s="203"/>
      <c r="U42" s="203"/>
      <c r="V42" s="203"/>
      <c r="W42" s="203"/>
      <c r="X42" s="203"/>
      <c r="Y42" s="203"/>
      <c r="Z42" s="203"/>
      <c r="AA42" s="203"/>
      <c r="AB42" s="203"/>
      <c r="AC42" s="203"/>
    </row>
    <row r="43" spans="1:29" ht="15">
      <c r="A43" s="203"/>
      <c r="B43" s="226">
        <v>28</v>
      </c>
      <c r="C43" s="369" t="str">
        <f>IF('INPUT DATA'!L38="","",'INPUT DATA'!L38)</f>
        <v/>
      </c>
      <c r="D43" s="370"/>
      <c r="E43" s="371"/>
      <c r="F43" s="372" t="str">
        <f>IF('INPUT DATA'!M38="","",'INPUT DATA'!M38)</f>
        <v/>
      </c>
      <c r="G43" s="373"/>
      <c r="H43" s="176" t="str">
        <f>IF('INPUT DATA'!N38="","",'INPUT DATA'!N38)</f>
        <v/>
      </c>
      <c r="I43" s="40" t="str">
        <f t="shared" ca="1" si="0"/>
        <v/>
      </c>
      <c r="J43" s="225"/>
      <c r="K43" s="94"/>
      <c r="L43" s="95"/>
      <c r="M43" s="95"/>
      <c r="N43" s="95"/>
      <c r="O43" s="95"/>
      <c r="P43" s="95"/>
      <c r="Q43" s="95"/>
      <c r="R43" s="96"/>
      <c r="S43" s="203"/>
      <c r="T43" s="203"/>
      <c r="U43" s="203"/>
      <c r="V43" s="203"/>
      <c r="W43" s="203"/>
      <c r="X43" s="203"/>
      <c r="Y43" s="203"/>
      <c r="Z43" s="203"/>
      <c r="AA43" s="203"/>
      <c r="AB43" s="203"/>
      <c r="AC43" s="203"/>
    </row>
    <row r="44" spans="1:29" ht="15">
      <c r="A44" s="203"/>
      <c r="B44" s="226">
        <v>29</v>
      </c>
      <c r="C44" s="369" t="str">
        <f>IF('INPUT DATA'!L39="","",'INPUT DATA'!L39)</f>
        <v/>
      </c>
      <c r="D44" s="370"/>
      <c r="E44" s="371"/>
      <c r="F44" s="372" t="str">
        <f>IF('INPUT DATA'!M39="","",'INPUT DATA'!M39)</f>
        <v/>
      </c>
      <c r="G44" s="373"/>
      <c r="H44" s="176" t="str">
        <f>IF('INPUT DATA'!N39="","",'INPUT DATA'!N39)</f>
        <v/>
      </c>
      <c r="I44" s="40" t="str">
        <f t="shared" ca="1" si="0"/>
        <v/>
      </c>
      <c r="J44" s="225"/>
      <c r="K44" s="94"/>
      <c r="L44" s="95"/>
      <c r="M44" s="95"/>
      <c r="N44" s="95"/>
      <c r="O44" s="95"/>
      <c r="P44" s="95"/>
      <c r="Q44" s="95"/>
      <c r="R44" s="96"/>
      <c r="S44" s="203"/>
      <c r="T44" s="203"/>
      <c r="U44" s="203"/>
      <c r="V44" s="203"/>
      <c r="W44" s="203"/>
      <c r="X44" s="203"/>
      <c r="Y44" s="203"/>
      <c r="Z44" s="203"/>
      <c r="AA44" s="203"/>
      <c r="AB44" s="203"/>
      <c r="AC44" s="203"/>
    </row>
    <row r="45" spans="1:29" ht="15">
      <c r="A45" s="203"/>
      <c r="B45" s="226">
        <v>30</v>
      </c>
      <c r="C45" s="369" t="str">
        <f>IF('INPUT DATA'!L40="","",'INPUT DATA'!L40)</f>
        <v/>
      </c>
      <c r="D45" s="370"/>
      <c r="E45" s="371"/>
      <c r="F45" s="372" t="str">
        <f>IF('INPUT DATA'!M40="","",'INPUT DATA'!M40)</f>
        <v/>
      </c>
      <c r="G45" s="373"/>
      <c r="H45" s="176" t="str">
        <f>IF('INPUT DATA'!N40="","",'INPUT DATA'!N40)</f>
        <v/>
      </c>
      <c r="I45" s="40" t="str">
        <f t="shared" ca="1" si="0"/>
        <v/>
      </c>
      <c r="J45" s="225"/>
      <c r="K45" s="94"/>
      <c r="L45" s="95"/>
      <c r="M45" s="95"/>
      <c r="N45" s="95"/>
      <c r="O45" s="95"/>
      <c r="P45" s="95"/>
      <c r="Q45" s="95"/>
      <c r="R45" s="96"/>
      <c r="S45" s="203"/>
      <c r="T45" s="203"/>
      <c r="U45" s="203"/>
      <c r="V45" s="203"/>
      <c r="W45" s="203"/>
      <c r="X45" s="203"/>
      <c r="Y45" s="203"/>
      <c r="Z45" s="203"/>
      <c r="AA45" s="203"/>
      <c r="AB45" s="203"/>
      <c r="AC45" s="203"/>
    </row>
    <row r="46" spans="1:29" ht="15">
      <c r="A46" s="203"/>
      <c r="B46" s="226">
        <v>31</v>
      </c>
      <c r="C46" s="369" t="str">
        <f>IF('INPUT DATA'!L41="","",'INPUT DATA'!L41)</f>
        <v/>
      </c>
      <c r="D46" s="370"/>
      <c r="E46" s="371"/>
      <c r="F46" s="372" t="str">
        <f>IF('INPUT DATA'!M41="","",'INPUT DATA'!M41)</f>
        <v/>
      </c>
      <c r="G46" s="373"/>
      <c r="H46" s="176" t="str">
        <f>IF('INPUT DATA'!N41="","",'INPUT DATA'!N41)</f>
        <v/>
      </c>
      <c r="I46" s="40" t="str">
        <f t="shared" ca="1" si="0"/>
        <v/>
      </c>
      <c r="J46" s="225"/>
      <c r="K46" s="94"/>
      <c r="L46" s="95"/>
      <c r="M46" s="95"/>
      <c r="N46" s="95"/>
      <c r="O46" s="95"/>
      <c r="P46" s="95"/>
      <c r="Q46" s="95"/>
      <c r="R46" s="96"/>
      <c r="S46" s="203"/>
      <c r="T46" s="203"/>
      <c r="U46" s="203"/>
      <c r="V46" s="203"/>
      <c r="W46" s="203"/>
      <c r="X46" s="203"/>
      <c r="Y46" s="203"/>
      <c r="Z46" s="203"/>
      <c r="AA46" s="203"/>
      <c r="AB46" s="203"/>
      <c r="AC46" s="203"/>
    </row>
    <row r="47" spans="1:29" ht="15">
      <c r="A47" s="203"/>
      <c r="B47" s="226">
        <v>32</v>
      </c>
      <c r="C47" s="369" t="str">
        <f>IF('INPUT DATA'!L42="","",'INPUT DATA'!L42)</f>
        <v/>
      </c>
      <c r="D47" s="370"/>
      <c r="E47" s="371"/>
      <c r="F47" s="372" t="str">
        <f>IF('INPUT DATA'!M42="","",'INPUT DATA'!M42)</f>
        <v/>
      </c>
      <c r="G47" s="373"/>
      <c r="H47" s="176" t="str">
        <f>IF('INPUT DATA'!N42="","",'INPUT DATA'!N42)</f>
        <v/>
      </c>
      <c r="I47" s="40" t="str">
        <f t="shared" ca="1" si="0"/>
        <v/>
      </c>
      <c r="J47" s="225"/>
      <c r="K47" s="94"/>
      <c r="L47" s="95"/>
      <c r="M47" s="95"/>
      <c r="N47" s="95"/>
      <c r="O47" s="95"/>
      <c r="P47" s="95"/>
      <c r="Q47" s="95"/>
      <c r="R47" s="96"/>
      <c r="S47" s="203"/>
      <c r="T47" s="203"/>
      <c r="U47" s="203"/>
      <c r="V47" s="203"/>
      <c r="W47" s="203"/>
      <c r="X47" s="203"/>
      <c r="Y47" s="203"/>
      <c r="Z47" s="203"/>
      <c r="AA47" s="203"/>
      <c r="AB47" s="203"/>
      <c r="AC47" s="203"/>
    </row>
    <row r="48" spans="1:29" ht="15">
      <c r="A48" s="203"/>
      <c r="B48" s="226">
        <v>33</v>
      </c>
      <c r="C48" s="369" t="str">
        <f>IF('INPUT DATA'!L43="","",'INPUT DATA'!L43)</f>
        <v/>
      </c>
      <c r="D48" s="370"/>
      <c r="E48" s="371"/>
      <c r="F48" s="372" t="str">
        <f>IF('INPUT DATA'!M43="","",'INPUT DATA'!M43)</f>
        <v/>
      </c>
      <c r="G48" s="373"/>
      <c r="H48" s="176" t="str">
        <f>IF('INPUT DATA'!N43="","",'INPUT DATA'!N43)</f>
        <v/>
      </c>
      <c r="I48" s="40" t="str">
        <f t="shared" ca="1" si="0"/>
        <v/>
      </c>
      <c r="J48" s="225"/>
      <c r="K48" s="94"/>
      <c r="L48" s="95"/>
      <c r="M48" s="95"/>
      <c r="N48" s="95"/>
      <c r="O48" s="95"/>
      <c r="P48" s="95"/>
      <c r="Q48" s="95"/>
      <c r="R48" s="96"/>
      <c r="S48" s="203"/>
      <c r="T48" s="203"/>
      <c r="U48" s="203"/>
      <c r="V48" s="203"/>
      <c r="W48" s="203"/>
      <c r="X48" s="203"/>
      <c r="Y48" s="203"/>
      <c r="Z48" s="203"/>
      <c r="AA48" s="203"/>
      <c r="AB48" s="203"/>
      <c r="AC48" s="203"/>
    </row>
    <row r="49" spans="1:29" ht="15">
      <c r="A49" s="203"/>
      <c r="B49" s="226">
        <v>34</v>
      </c>
      <c r="C49" s="369" t="str">
        <f>IF('INPUT DATA'!L44="","",'INPUT DATA'!L44)</f>
        <v/>
      </c>
      <c r="D49" s="370"/>
      <c r="E49" s="371"/>
      <c r="F49" s="372" t="str">
        <f>IF('INPUT DATA'!M44="","",'INPUT DATA'!M44)</f>
        <v/>
      </c>
      <c r="G49" s="373"/>
      <c r="H49" s="176" t="str">
        <f>IF('INPUT DATA'!N44="","",'INPUT DATA'!N44)</f>
        <v/>
      </c>
      <c r="I49" s="40" t="str">
        <f t="shared" ca="1" si="0"/>
        <v/>
      </c>
      <c r="J49" s="225"/>
      <c r="K49" s="94"/>
      <c r="L49" s="95"/>
      <c r="M49" s="95"/>
      <c r="N49" s="95"/>
      <c r="O49" s="95"/>
      <c r="P49" s="95"/>
      <c r="Q49" s="95"/>
      <c r="R49" s="96"/>
      <c r="S49" s="203"/>
      <c r="T49" s="203"/>
      <c r="U49" s="203"/>
      <c r="V49" s="203"/>
      <c r="W49" s="203"/>
      <c r="X49" s="203"/>
      <c r="Y49" s="203"/>
      <c r="Z49" s="203"/>
      <c r="AA49" s="203"/>
      <c r="AB49" s="203"/>
      <c r="AC49" s="203"/>
    </row>
    <row r="50" spans="1:29" ht="15">
      <c r="A50" s="203"/>
      <c r="B50" s="226">
        <v>35</v>
      </c>
      <c r="C50" s="369" t="str">
        <f>IF('INPUT DATA'!L45="","",'INPUT DATA'!L45)</f>
        <v/>
      </c>
      <c r="D50" s="370"/>
      <c r="E50" s="371"/>
      <c r="F50" s="372" t="str">
        <f>IF('INPUT DATA'!M45="","",'INPUT DATA'!M45)</f>
        <v/>
      </c>
      <c r="G50" s="373"/>
      <c r="H50" s="176" t="str">
        <f>IF('INPUT DATA'!N45="","",'INPUT DATA'!N45)</f>
        <v/>
      </c>
      <c r="I50" s="40" t="str">
        <f t="shared" ca="1" si="0"/>
        <v/>
      </c>
      <c r="J50" s="225"/>
      <c r="K50" s="94"/>
      <c r="L50" s="95"/>
      <c r="M50" s="95"/>
      <c r="N50" s="95"/>
      <c r="O50" s="95"/>
      <c r="P50" s="95"/>
      <c r="Q50" s="95"/>
      <c r="R50" s="96"/>
      <c r="S50" s="203"/>
      <c r="T50" s="203"/>
      <c r="U50" s="203"/>
      <c r="V50" s="203"/>
      <c r="W50" s="203"/>
      <c r="X50" s="203"/>
      <c r="Y50" s="203"/>
      <c r="Z50" s="203"/>
      <c r="AA50" s="203"/>
      <c r="AB50" s="203"/>
      <c r="AC50" s="203"/>
    </row>
    <row r="51" spans="1:29" ht="15">
      <c r="A51" s="203"/>
      <c r="B51" s="226">
        <v>36</v>
      </c>
      <c r="C51" s="369" t="str">
        <f>IF('INPUT DATA'!L46="","",'INPUT DATA'!L46)</f>
        <v/>
      </c>
      <c r="D51" s="370"/>
      <c r="E51" s="371"/>
      <c r="F51" s="372" t="str">
        <f>IF('INPUT DATA'!M46="","",'INPUT DATA'!M46)</f>
        <v/>
      </c>
      <c r="G51" s="373"/>
      <c r="H51" s="176" t="str">
        <f>IF('INPUT DATA'!N46="","",'INPUT DATA'!N46)</f>
        <v/>
      </c>
      <c r="I51" s="40" t="str">
        <f t="shared" ca="1" si="0"/>
        <v/>
      </c>
      <c r="J51" s="225"/>
      <c r="K51" s="94"/>
      <c r="L51" s="95"/>
      <c r="M51" s="95"/>
      <c r="N51" s="95"/>
      <c r="O51" s="95"/>
      <c r="P51" s="95"/>
      <c r="Q51" s="95"/>
      <c r="R51" s="96"/>
      <c r="S51" s="203"/>
      <c r="T51" s="203"/>
      <c r="U51" s="203"/>
      <c r="V51" s="203"/>
      <c r="W51" s="203"/>
      <c r="X51" s="203"/>
      <c r="Y51" s="203"/>
      <c r="Z51" s="203"/>
      <c r="AA51" s="203"/>
      <c r="AB51" s="203"/>
      <c r="AC51" s="203"/>
    </row>
    <row r="52" spans="1:29" ht="15">
      <c r="A52" s="203"/>
      <c r="B52" s="226">
        <v>37</v>
      </c>
      <c r="C52" s="369" t="str">
        <f>IF('INPUT DATA'!L47="","",'INPUT DATA'!L47)</f>
        <v/>
      </c>
      <c r="D52" s="370"/>
      <c r="E52" s="371"/>
      <c r="F52" s="372" t="str">
        <f>IF('INPUT DATA'!M47="","",'INPUT DATA'!M47)</f>
        <v/>
      </c>
      <c r="G52" s="373"/>
      <c r="H52" s="176" t="str">
        <f>IF('INPUT DATA'!N47="","",'INPUT DATA'!N47)</f>
        <v/>
      </c>
      <c r="I52" s="40" t="str">
        <f t="shared" ca="1" si="0"/>
        <v/>
      </c>
      <c r="J52" s="225"/>
      <c r="K52" s="94"/>
      <c r="L52" s="95"/>
      <c r="M52" s="95"/>
      <c r="N52" s="95"/>
      <c r="O52" s="95"/>
      <c r="P52" s="95"/>
      <c r="Q52" s="95"/>
      <c r="R52" s="96"/>
      <c r="S52" s="203"/>
      <c r="T52" s="203"/>
      <c r="U52" s="203"/>
      <c r="V52" s="203"/>
      <c r="W52" s="203"/>
      <c r="X52" s="203"/>
      <c r="Y52" s="203"/>
      <c r="Z52" s="203"/>
      <c r="AA52" s="203"/>
      <c r="AB52" s="203"/>
      <c r="AC52" s="203"/>
    </row>
    <row r="53" spans="1:29" ht="15">
      <c r="A53" s="203"/>
      <c r="B53" s="226">
        <v>38</v>
      </c>
      <c r="C53" s="369" t="str">
        <f>IF('INPUT DATA'!L48="","",'INPUT DATA'!L48)</f>
        <v/>
      </c>
      <c r="D53" s="370"/>
      <c r="E53" s="371"/>
      <c r="F53" s="372" t="str">
        <f>IF('INPUT DATA'!M48="","",'INPUT DATA'!M48)</f>
        <v/>
      </c>
      <c r="G53" s="373"/>
      <c r="H53" s="176" t="str">
        <f>IF('INPUT DATA'!N48="","",'INPUT DATA'!N48)</f>
        <v/>
      </c>
      <c r="I53" s="40" t="str">
        <f t="shared" ca="1" si="0"/>
        <v/>
      </c>
      <c r="J53" s="225"/>
      <c r="K53" s="94"/>
      <c r="L53" s="95"/>
      <c r="M53" s="95"/>
      <c r="N53" s="95"/>
      <c r="O53" s="95"/>
      <c r="P53" s="95"/>
      <c r="Q53" s="95"/>
      <c r="R53" s="96"/>
      <c r="S53" s="203"/>
      <c r="T53" s="203"/>
      <c r="U53" s="203"/>
      <c r="V53" s="203"/>
      <c r="W53" s="203"/>
      <c r="X53" s="203"/>
      <c r="Y53" s="203"/>
      <c r="Z53" s="203"/>
      <c r="AA53" s="203"/>
      <c r="AB53" s="203"/>
      <c r="AC53" s="203"/>
    </row>
    <row r="54" spans="1:29" ht="15">
      <c r="A54" s="203"/>
      <c r="B54" s="226">
        <v>39</v>
      </c>
      <c r="C54" s="369" t="str">
        <f>IF('INPUT DATA'!L49="","",'INPUT DATA'!L49)</f>
        <v/>
      </c>
      <c r="D54" s="370"/>
      <c r="E54" s="371"/>
      <c r="F54" s="372" t="str">
        <f>IF('INPUT DATA'!M49="","",'INPUT DATA'!M49)</f>
        <v/>
      </c>
      <c r="G54" s="373"/>
      <c r="H54" s="176" t="str">
        <f>IF('INPUT DATA'!N49="","",'INPUT DATA'!N49)</f>
        <v/>
      </c>
      <c r="I54" s="40" t="str">
        <f t="shared" ca="1" si="0"/>
        <v/>
      </c>
      <c r="J54" s="225"/>
      <c r="K54" s="94"/>
      <c r="L54" s="95"/>
      <c r="M54" s="95"/>
      <c r="N54" s="95"/>
      <c r="O54" s="95"/>
      <c r="P54" s="95"/>
      <c r="Q54" s="95"/>
      <c r="R54" s="96"/>
      <c r="S54" s="203"/>
      <c r="T54" s="203"/>
      <c r="U54" s="203"/>
      <c r="V54" s="203"/>
      <c r="W54" s="203"/>
      <c r="X54" s="203"/>
      <c r="Y54" s="203"/>
      <c r="Z54" s="203"/>
      <c r="AA54" s="203"/>
      <c r="AB54" s="203"/>
      <c r="AC54" s="203"/>
    </row>
    <row r="55" spans="1:29" ht="15">
      <c r="A55" s="203"/>
      <c r="B55" s="226">
        <v>40</v>
      </c>
      <c r="C55" s="369" t="str">
        <f>IF('INPUT DATA'!L50="","",'INPUT DATA'!L50)</f>
        <v/>
      </c>
      <c r="D55" s="370"/>
      <c r="E55" s="371"/>
      <c r="F55" s="372" t="str">
        <f>IF('INPUT DATA'!M50="","",'INPUT DATA'!M50)</f>
        <v/>
      </c>
      <c r="G55" s="373"/>
      <c r="H55" s="176" t="str">
        <f>IF('INPUT DATA'!N50="","",'INPUT DATA'!N50)</f>
        <v/>
      </c>
      <c r="I55" s="40" t="str">
        <f t="shared" ca="1" si="0"/>
        <v/>
      </c>
      <c r="J55" s="225"/>
      <c r="K55" s="94"/>
      <c r="L55" s="95"/>
      <c r="M55" s="95"/>
      <c r="N55" s="95"/>
      <c r="O55" s="95"/>
      <c r="P55" s="95"/>
      <c r="Q55" s="95"/>
      <c r="R55" s="96"/>
      <c r="S55" s="203"/>
      <c r="T55" s="203"/>
      <c r="U55" s="203"/>
      <c r="V55" s="203"/>
      <c r="W55" s="203"/>
      <c r="X55" s="203"/>
      <c r="Y55" s="203"/>
      <c r="Z55" s="203"/>
      <c r="AA55" s="203"/>
      <c r="AB55" s="203"/>
      <c r="AC55" s="203"/>
    </row>
    <row r="56" spans="1:29" ht="15">
      <c r="A56" s="203"/>
      <c r="B56" s="226">
        <v>41</v>
      </c>
      <c r="C56" s="369" t="str">
        <f>IF('INPUT DATA'!L51="","",'INPUT DATA'!L51)</f>
        <v/>
      </c>
      <c r="D56" s="370"/>
      <c r="E56" s="371"/>
      <c r="F56" s="372" t="str">
        <f>IF('INPUT DATA'!M51="","",'INPUT DATA'!M51)</f>
        <v/>
      </c>
      <c r="G56" s="373"/>
      <c r="H56" s="176" t="str">
        <f>IF('INPUT DATA'!N51="","",'INPUT DATA'!N51)</f>
        <v/>
      </c>
      <c r="I56" s="40" t="str">
        <f t="shared" ca="1" si="0"/>
        <v/>
      </c>
      <c r="J56" s="225"/>
      <c r="K56" s="94"/>
      <c r="L56" s="95"/>
      <c r="M56" s="95"/>
      <c r="N56" s="95"/>
      <c r="O56" s="95"/>
      <c r="P56" s="95"/>
      <c r="Q56" s="95"/>
      <c r="R56" s="96"/>
      <c r="S56" s="203"/>
      <c r="T56" s="203"/>
      <c r="U56" s="203"/>
      <c r="V56" s="203"/>
      <c r="W56" s="203"/>
      <c r="X56" s="203"/>
      <c r="Y56" s="203"/>
      <c r="Z56" s="203"/>
      <c r="AA56" s="203"/>
      <c r="AB56" s="203"/>
      <c r="AC56" s="203"/>
    </row>
    <row r="57" spans="1:29" ht="15">
      <c r="A57" s="203"/>
      <c r="B57" s="226">
        <v>42</v>
      </c>
      <c r="C57" s="369" t="str">
        <f>IF('INPUT DATA'!L52="","",'INPUT DATA'!L52)</f>
        <v/>
      </c>
      <c r="D57" s="370"/>
      <c r="E57" s="371"/>
      <c r="F57" s="372" t="str">
        <f>IF('INPUT DATA'!M52="","",'INPUT DATA'!M52)</f>
        <v/>
      </c>
      <c r="G57" s="373"/>
      <c r="H57" s="176" t="str">
        <f>IF('INPUT DATA'!N52="","",'INPUT DATA'!N52)</f>
        <v/>
      </c>
      <c r="I57" s="40" t="str">
        <f t="shared" ca="1" si="0"/>
        <v/>
      </c>
      <c r="J57" s="225"/>
      <c r="K57" s="94"/>
      <c r="L57" s="95"/>
      <c r="M57" s="95"/>
      <c r="N57" s="95"/>
      <c r="O57" s="95"/>
      <c r="P57" s="95"/>
      <c r="Q57" s="95"/>
      <c r="R57" s="96"/>
      <c r="S57" s="203"/>
      <c r="T57" s="203"/>
      <c r="U57" s="203"/>
      <c r="V57" s="203"/>
      <c r="W57" s="203"/>
      <c r="X57" s="203"/>
      <c r="Y57" s="203"/>
      <c r="Z57" s="203"/>
      <c r="AA57" s="203"/>
      <c r="AB57" s="203"/>
      <c r="AC57" s="203"/>
    </row>
    <row r="58" spans="1:29" ht="15">
      <c r="A58" s="203"/>
      <c r="B58" s="226">
        <v>43</v>
      </c>
      <c r="C58" s="369" t="str">
        <f>IF('INPUT DATA'!L53="","",'INPUT DATA'!L53)</f>
        <v/>
      </c>
      <c r="D58" s="370"/>
      <c r="E58" s="371"/>
      <c r="F58" s="372" t="str">
        <f>IF('INPUT DATA'!M53="","",'INPUT DATA'!M53)</f>
        <v/>
      </c>
      <c r="G58" s="373"/>
      <c r="H58" s="176" t="str">
        <f>IF('INPUT DATA'!N53="","",'INPUT DATA'!N53)</f>
        <v/>
      </c>
      <c r="I58" s="40" t="str">
        <f t="shared" ca="1" si="0"/>
        <v/>
      </c>
      <c r="J58" s="225"/>
      <c r="K58" s="94"/>
      <c r="L58" s="95"/>
      <c r="M58" s="95"/>
      <c r="N58" s="95"/>
      <c r="O58" s="95"/>
      <c r="P58" s="95"/>
      <c r="Q58" s="95"/>
      <c r="R58" s="96"/>
      <c r="S58" s="203"/>
      <c r="T58" s="203"/>
      <c r="U58" s="203"/>
      <c r="V58" s="203"/>
      <c r="W58" s="203"/>
      <c r="X58" s="203"/>
      <c r="Y58" s="203"/>
      <c r="Z58" s="203"/>
      <c r="AA58" s="203"/>
      <c r="AB58" s="203"/>
      <c r="AC58" s="203"/>
    </row>
    <row r="59" spans="1:29" ht="15">
      <c r="A59" s="203"/>
      <c r="B59" s="226">
        <v>44</v>
      </c>
      <c r="C59" s="369" t="str">
        <f>IF('INPUT DATA'!L54="","",'INPUT DATA'!L54)</f>
        <v/>
      </c>
      <c r="D59" s="370"/>
      <c r="E59" s="371"/>
      <c r="F59" s="372" t="str">
        <f>IF('INPUT DATA'!M54="","",'INPUT DATA'!M54)</f>
        <v/>
      </c>
      <c r="G59" s="373"/>
      <c r="H59" s="176" t="str">
        <f>IF('INPUT DATA'!N54="","",'INPUT DATA'!N54)</f>
        <v/>
      </c>
      <c r="I59" s="40" t="str">
        <f t="shared" ca="1" si="0"/>
        <v/>
      </c>
      <c r="J59" s="225"/>
      <c r="K59" s="94"/>
      <c r="L59" s="95"/>
      <c r="M59" s="95"/>
      <c r="N59" s="95"/>
      <c r="O59" s="95"/>
      <c r="P59" s="95"/>
      <c r="Q59" s="95"/>
      <c r="R59" s="96"/>
      <c r="S59" s="203"/>
      <c r="T59" s="203"/>
      <c r="U59" s="203"/>
      <c r="V59" s="203"/>
      <c r="W59" s="203"/>
      <c r="X59" s="203"/>
      <c r="Y59" s="203"/>
      <c r="Z59" s="203"/>
      <c r="AA59" s="203"/>
      <c r="AB59" s="203"/>
      <c r="AC59" s="203"/>
    </row>
    <row r="60" spans="1:29" ht="15">
      <c r="A60" s="203"/>
      <c r="B60" s="226">
        <v>45</v>
      </c>
      <c r="C60" s="369" t="str">
        <f>IF('INPUT DATA'!L55="","",'INPUT DATA'!L55)</f>
        <v/>
      </c>
      <c r="D60" s="370"/>
      <c r="E60" s="371"/>
      <c r="F60" s="372" t="str">
        <f>IF('INPUT DATA'!M55="","",'INPUT DATA'!M55)</f>
        <v/>
      </c>
      <c r="G60" s="373"/>
      <c r="H60" s="176" t="str">
        <f>IF('INPUT DATA'!N55="","",'INPUT DATA'!N55)</f>
        <v/>
      </c>
      <c r="I60" s="40" t="str">
        <f t="shared" ca="1" si="0"/>
        <v/>
      </c>
      <c r="J60" s="225"/>
      <c r="K60" s="97"/>
      <c r="L60" s="98"/>
      <c r="M60" s="98"/>
      <c r="N60" s="98"/>
      <c r="O60" s="98"/>
      <c r="P60" s="98"/>
      <c r="Q60" s="98"/>
      <c r="R60" s="99"/>
      <c r="S60" s="203"/>
      <c r="T60" s="203"/>
      <c r="U60" s="203"/>
      <c r="V60" s="203"/>
      <c r="W60" s="203"/>
      <c r="X60" s="203"/>
      <c r="Y60" s="203"/>
      <c r="Z60" s="203"/>
      <c r="AA60" s="203"/>
      <c r="AB60" s="203"/>
      <c r="AC60" s="203"/>
    </row>
    <row r="61" spans="1:29" ht="15">
      <c r="A61" s="203"/>
      <c r="B61" s="226">
        <v>46</v>
      </c>
      <c r="C61" s="369" t="str">
        <f>IF('INPUT DATA'!L56="","",'INPUT DATA'!L56)</f>
        <v/>
      </c>
      <c r="D61" s="370"/>
      <c r="E61" s="371"/>
      <c r="F61" s="372" t="str">
        <f>IF('INPUT DATA'!M56="","",'INPUT DATA'!M56)</f>
        <v/>
      </c>
      <c r="G61" s="373"/>
      <c r="H61" s="176" t="str">
        <f>IF('INPUT DATA'!N56="","",'INPUT DATA'!N56)</f>
        <v/>
      </c>
      <c r="I61" s="40" t="str">
        <f t="shared" ca="1" si="0"/>
        <v/>
      </c>
      <c r="J61" s="225" t="s">
        <v>100</v>
      </c>
      <c r="K61" s="94"/>
      <c r="L61" s="95"/>
      <c r="M61" s="95"/>
      <c r="N61" s="95"/>
      <c r="O61" s="95"/>
      <c r="P61" s="95"/>
      <c r="Q61" s="95"/>
      <c r="R61" s="96"/>
      <c r="S61" s="203"/>
      <c r="T61" s="203"/>
      <c r="U61" s="203"/>
      <c r="V61" s="203"/>
      <c r="W61" s="203"/>
      <c r="X61" s="203"/>
      <c r="Y61" s="203"/>
      <c r="Z61" s="203"/>
      <c r="AA61" s="203"/>
      <c r="AB61" s="203"/>
      <c r="AC61" s="203"/>
    </row>
    <row r="62" spans="1:29" ht="15">
      <c r="A62" s="203"/>
      <c r="B62" s="226">
        <v>47</v>
      </c>
      <c r="C62" s="369" t="str">
        <f>IF('INPUT DATA'!L57="","",'INPUT DATA'!L57)</f>
        <v/>
      </c>
      <c r="D62" s="370"/>
      <c r="E62" s="371"/>
      <c r="F62" s="372" t="str">
        <f>IF('INPUT DATA'!M57="","",'INPUT DATA'!M57)</f>
        <v/>
      </c>
      <c r="G62" s="373"/>
      <c r="H62" s="176" t="str">
        <f>IF('INPUT DATA'!N57="","",'INPUT DATA'!N57)</f>
        <v/>
      </c>
      <c r="I62" s="40" t="str">
        <f t="shared" ca="1" si="0"/>
        <v/>
      </c>
      <c r="J62" s="225"/>
      <c r="K62" s="94"/>
      <c r="L62" s="95"/>
      <c r="M62" s="95"/>
      <c r="N62" s="95"/>
      <c r="O62" s="95"/>
      <c r="P62" s="95"/>
      <c r="Q62" s="95"/>
      <c r="R62" s="96"/>
      <c r="S62" s="203"/>
      <c r="T62" s="203"/>
      <c r="U62" s="203"/>
      <c r="V62" s="203"/>
      <c r="W62" s="203"/>
      <c r="X62" s="203"/>
      <c r="Y62" s="203"/>
      <c r="Z62" s="203"/>
      <c r="AA62" s="203"/>
      <c r="AB62" s="203"/>
      <c r="AC62" s="203"/>
    </row>
    <row r="63" spans="1:29" ht="15">
      <c r="A63" s="203"/>
      <c r="B63" s="226">
        <v>48</v>
      </c>
      <c r="C63" s="369" t="str">
        <f>IF('INPUT DATA'!L58="","",'INPUT DATA'!L58)</f>
        <v/>
      </c>
      <c r="D63" s="370"/>
      <c r="E63" s="371"/>
      <c r="F63" s="372" t="str">
        <f>IF('INPUT DATA'!M58="","",'INPUT DATA'!M58)</f>
        <v/>
      </c>
      <c r="G63" s="373"/>
      <c r="H63" s="176" t="str">
        <f>IF('INPUT DATA'!N58="","",'INPUT DATA'!N58)</f>
        <v/>
      </c>
      <c r="I63" s="40" t="str">
        <f t="shared" ca="1" si="0"/>
        <v/>
      </c>
      <c r="J63" s="225"/>
      <c r="K63" s="94"/>
      <c r="L63" s="95"/>
      <c r="M63" s="95"/>
      <c r="N63" s="95"/>
      <c r="O63" s="95"/>
      <c r="P63" s="95"/>
      <c r="Q63" s="95"/>
      <c r="R63" s="96"/>
      <c r="S63" s="203"/>
      <c r="T63" s="203"/>
      <c r="U63" s="203"/>
      <c r="V63" s="203"/>
      <c r="W63" s="203"/>
      <c r="X63" s="203"/>
      <c r="Y63" s="203"/>
      <c r="Z63" s="203"/>
      <c r="AA63" s="203"/>
      <c r="AB63" s="203"/>
      <c r="AC63" s="203"/>
    </row>
    <row r="64" spans="1:29" ht="15">
      <c r="A64" s="203"/>
      <c r="B64" s="226">
        <v>49</v>
      </c>
      <c r="C64" s="369" t="str">
        <f>IF('INPUT DATA'!L59="","",'INPUT DATA'!L59)</f>
        <v/>
      </c>
      <c r="D64" s="370"/>
      <c r="E64" s="371"/>
      <c r="F64" s="372" t="str">
        <f>IF('INPUT DATA'!M59="","",'INPUT DATA'!M59)</f>
        <v/>
      </c>
      <c r="G64" s="373"/>
      <c r="H64" s="176" t="str">
        <f>IF('INPUT DATA'!N59="","",'INPUT DATA'!N59)</f>
        <v/>
      </c>
      <c r="I64" s="40" t="str">
        <f t="shared" ca="1" si="0"/>
        <v/>
      </c>
      <c r="J64" s="225"/>
      <c r="K64" s="94"/>
      <c r="L64" s="95"/>
      <c r="M64" s="95"/>
      <c r="N64" s="95"/>
      <c r="O64" s="95"/>
      <c r="P64" s="95"/>
      <c r="Q64" s="95"/>
      <c r="R64" s="96"/>
      <c r="S64" s="203"/>
      <c r="T64" s="203"/>
      <c r="U64" s="203"/>
      <c r="V64" s="203"/>
      <c r="W64" s="203"/>
      <c r="X64" s="203"/>
      <c r="Y64" s="203"/>
      <c r="Z64" s="203"/>
      <c r="AA64" s="203"/>
      <c r="AB64" s="203"/>
      <c r="AC64" s="203"/>
    </row>
    <row r="65" spans="1:29" ht="15.6" thickBot="1">
      <c r="A65" s="203"/>
      <c r="B65" s="227">
        <v>50</v>
      </c>
      <c r="C65" s="443" t="str">
        <f>IF('INPUT DATA'!L60="","",'INPUT DATA'!L60)</f>
        <v/>
      </c>
      <c r="D65" s="444"/>
      <c r="E65" s="445"/>
      <c r="F65" s="446" t="str">
        <f>IF('INPUT DATA'!M60="","",'INPUT DATA'!M60)</f>
        <v/>
      </c>
      <c r="G65" s="447"/>
      <c r="H65" s="190" t="str">
        <f>IF('INPUT DATA'!N60="","",'INPUT DATA'!N60)</f>
        <v/>
      </c>
      <c r="I65" s="41" t="str">
        <f t="shared" ca="1" si="0"/>
        <v/>
      </c>
      <c r="J65" s="229"/>
      <c r="K65" s="100"/>
      <c r="L65" s="101"/>
      <c r="M65" s="101"/>
      <c r="N65" s="101"/>
      <c r="O65" s="101"/>
      <c r="P65" s="101"/>
      <c r="Q65" s="101"/>
      <c r="R65" s="102"/>
      <c r="S65" s="203"/>
      <c r="T65" s="203"/>
      <c r="U65" s="203"/>
      <c r="V65" s="203"/>
      <c r="W65" s="203"/>
      <c r="X65" s="203"/>
      <c r="Y65" s="203"/>
      <c r="Z65" s="203"/>
      <c r="AA65" s="203"/>
      <c r="AB65" s="203"/>
      <c r="AC65" s="203"/>
    </row>
    <row r="66" spans="1:29" ht="16.2" thickBot="1">
      <c r="A66" s="203"/>
      <c r="B66" s="230" t="s">
        <v>13</v>
      </c>
      <c r="C66" s="231"/>
      <c r="D66" s="231"/>
      <c r="E66" s="231"/>
      <c r="F66" s="231"/>
      <c r="G66" s="231"/>
      <c r="H66" s="231"/>
      <c r="I66" s="231"/>
      <c r="J66" s="232"/>
      <c r="K66" s="233"/>
      <c r="L66" s="233"/>
      <c r="M66" s="233"/>
      <c r="N66" s="233"/>
      <c r="O66" s="233"/>
      <c r="P66" s="233"/>
      <c r="Q66" s="233"/>
      <c r="R66" s="234"/>
      <c r="S66" s="203"/>
      <c r="T66" s="203"/>
      <c r="U66" s="203"/>
      <c r="V66" s="203"/>
      <c r="W66" s="203"/>
      <c r="X66" s="203"/>
      <c r="Y66" s="203"/>
      <c r="Z66" s="203"/>
      <c r="AA66" s="203"/>
      <c r="AB66" s="203"/>
      <c r="AC66" s="203"/>
    </row>
    <row r="67" spans="1:29" ht="15">
      <c r="A67" s="203"/>
      <c r="B67" s="220">
        <v>1</v>
      </c>
      <c r="C67" s="435" t="str">
        <f>IF('INPUT DATA'!Q11="","",'INPUT DATA'!Q11)</f>
        <v/>
      </c>
      <c r="D67" s="436"/>
      <c r="E67" s="437"/>
      <c r="F67" s="438" t="str">
        <f>IF('INPUT DATA'!T11="","",'INPUT DATA'!T11)</f>
        <v/>
      </c>
      <c r="G67" s="439"/>
      <c r="H67" s="178" t="str">
        <f>IF('INPUT DATA'!S11="","",'INPUT DATA'!S11)</f>
        <v/>
      </c>
      <c r="I67" s="40" t="str">
        <f t="shared" ca="1" si="0"/>
        <v/>
      </c>
      <c r="J67" s="235" t="s">
        <v>101</v>
      </c>
      <c r="K67" s="91"/>
      <c r="L67" s="92"/>
      <c r="M67" s="92"/>
      <c r="N67" s="92"/>
      <c r="O67" s="92"/>
      <c r="P67" s="92"/>
      <c r="Q67" s="92"/>
      <c r="R67" s="93"/>
      <c r="S67" s="203"/>
      <c r="T67" s="203"/>
      <c r="U67" s="203"/>
      <c r="V67" s="203"/>
      <c r="W67" s="203"/>
      <c r="X67" s="203"/>
      <c r="Y67" s="203"/>
      <c r="Z67" s="203"/>
      <c r="AA67" s="203"/>
      <c r="AB67" s="203"/>
      <c r="AC67" s="203"/>
    </row>
    <row r="68" spans="1:29" ht="15">
      <c r="A68" s="203"/>
      <c r="B68" s="223">
        <v>2</v>
      </c>
      <c r="C68" s="440" t="str">
        <f>IF('INPUT DATA'!Q12="","",'INPUT DATA'!Q12)</f>
        <v/>
      </c>
      <c r="D68" s="441"/>
      <c r="E68" s="442"/>
      <c r="F68" s="438" t="str">
        <f>IF('INPUT DATA'!T12="","",'INPUT DATA'!T12)</f>
        <v/>
      </c>
      <c r="G68" s="439"/>
      <c r="H68" s="179" t="str">
        <f>IF('INPUT DATA'!S12="","",'INPUT DATA'!S12)</f>
        <v/>
      </c>
      <c r="I68" s="40" t="str">
        <f t="shared" ca="1" si="0"/>
        <v/>
      </c>
      <c r="J68" s="236" t="s">
        <v>101</v>
      </c>
      <c r="K68" s="94"/>
      <c r="L68" s="95"/>
      <c r="M68" s="95"/>
      <c r="N68" s="95"/>
      <c r="O68" s="95"/>
      <c r="P68" s="95"/>
      <c r="Q68" s="95"/>
      <c r="R68" s="96"/>
      <c r="S68" s="203"/>
      <c r="T68" s="203"/>
      <c r="U68" s="203"/>
      <c r="V68" s="203"/>
      <c r="W68" s="203"/>
      <c r="X68" s="203"/>
      <c r="Y68" s="203"/>
      <c r="Z68" s="203"/>
      <c r="AA68" s="203"/>
      <c r="AB68" s="203"/>
      <c r="AC68" s="203"/>
    </row>
    <row r="69" spans="1:29" ht="15">
      <c r="A69" s="203"/>
      <c r="B69" s="223">
        <v>3</v>
      </c>
      <c r="C69" s="440" t="str">
        <f>IF('INPUT DATA'!Q13="","",'INPUT DATA'!Q13)</f>
        <v/>
      </c>
      <c r="D69" s="441"/>
      <c r="E69" s="442"/>
      <c r="F69" s="438" t="str">
        <f>IF('INPUT DATA'!T13="","",'INPUT DATA'!T13)</f>
        <v/>
      </c>
      <c r="G69" s="439"/>
      <c r="H69" s="179" t="str">
        <f>IF('INPUT DATA'!S13="","",'INPUT DATA'!S13)</f>
        <v/>
      </c>
      <c r="I69" s="40" t="str">
        <f t="shared" ca="1" si="0"/>
        <v/>
      </c>
      <c r="J69" s="236" t="s">
        <v>101</v>
      </c>
      <c r="K69" s="94"/>
      <c r="L69" s="95"/>
      <c r="M69" s="95"/>
      <c r="N69" s="95"/>
      <c r="O69" s="95"/>
      <c r="P69" s="95"/>
      <c r="Q69" s="95"/>
      <c r="R69" s="96"/>
      <c r="S69" s="203"/>
      <c r="T69" s="203"/>
      <c r="U69" s="203"/>
      <c r="V69" s="203"/>
      <c r="W69" s="203"/>
      <c r="X69" s="203"/>
      <c r="Y69" s="203"/>
      <c r="Z69" s="203"/>
      <c r="AA69" s="203"/>
      <c r="AB69" s="203"/>
      <c r="AC69" s="203"/>
    </row>
    <row r="70" spans="1:29" ht="15">
      <c r="A70" s="203"/>
      <c r="B70" s="223">
        <v>4</v>
      </c>
      <c r="C70" s="440" t="str">
        <f>IF('INPUT DATA'!Q14="","",'INPUT DATA'!Q14)</f>
        <v/>
      </c>
      <c r="D70" s="441"/>
      <c r="E70" s="442"/>
      <c r="F70" s="438" t="str">
        <f>IF('INPUT DATA'!T14="","",'INPUT DATA'!T14)</f>
        <v/>
      </c>
      <c r="G70" s="439"/>
      <c r="H70" s="179" t="str">
        <f>IF('INPUT DATA'!S14="","",'INPUT DATA'!S14)</f>
        <v/>
      </c>
      <c r="I70" s="40" t="str">
        <f t="shared" ca="1" si="0"/>
        <v/>
      </c>
      <c r="J70" s="224"/>
      <c r="K70" s="94"/>
      <c r="L70" s="95"/>
      <c r="M70" s="95"/>
      <c r="N70" s="95"/>
      <c r="O70" s="95"/>
      <c r="P70" s="95"/>
      <c r="Q70" s="103"/>
      <c r="R70" s="96"/>
      <c r="S70" s="203"/>
      <c r="T70" s="203"/>
      <c r="U70" s="203"/>
      <c r="V70" s="203"/>
      <c r="W70" s="203"/>
      <c r="X70" s="203"/>
      <c r="Y70" s="203"/>
      <c r="Z70" s="203"/>
      <c r="AA70" s="203"/>
      <c r="AB70" s="203"/>
      <c r="AC70" s="203"/>
    </row>
    <row r="71" spans="1:29" ht="15">
      <c r="A71" s="203"/>
      <c r="B71" s="223">
        <v>5</v>
      </c>
      <c r="C71" s="440" t="str">
        <f>IF('INPUT DATA'!Q15="","",'INPUT DATA'!Q15)</f>
        <v/>
      </c>
      <c r="D71" s="441"/>
      <c r="E71" s="442"/>
      <c r="F71" s="438" t="str">
        <f>IF('INPUT DATA'!T15="","",'INPUT DATA'!T15)</f>
        <v/>
      </c>
      <c r="G71" s="439"/>
      <c r="H71" s="179" t="str">
        <f>IF('INPUT DATA'!S15="","",'INPUT DATA'!S15)</f>
        <v/>
      </c>
      <c r="I71" s="40" t="str">
        <f t="shared" ca="1" si="0"/>
        <v/>
      </c>
      <c r="J71" s="224"/>
      <c r="K71" s="94"/>
      <c r="L71" s="95"/>
      <c r="M71" s="95"/>
      <c r="N71" s="95"/>
      <c r="O71" s="95"/>
      <c r="P71" s="95"/>
      <c r="Q71" s="103"/>
      <c r="R71" s="96"/>
      <c r="S71" s="203"/>
      <c r="T71" s="203"/>
      <c r="U71" s="203"/>
      <c r="V71" s="203"/>
      <c r="W71" s="203"/>
      <c r="X71" s="203"/>
      <c r="Y71" s="203"/>
      <c r="Z71" s="203"/>
      <c r="AA71" s="203"/>
      <c r="AB71" s="203"/>
      <c r="AC71" s="203"/>
    </row>
    <row r="72" spans="1:29" ht="15">
      <c r="A72" s="203"/>
      <c r="B72" s="223">
        <v>6</v>
      </c>
      <c r="C72" s="440" t="str">
        <f>IF('INPUT DATA'!Q16="","",'INPUT DATA'!Q16)</f>
        <v/>
      </c>
      <c r="D72" s="441"/>
      <c r="E72" s="442"/>
      <c r="F72" s="438" t="str">
        <f>IF('INPUT DATA'!T16="","",'INPUT DATA'!T16)</f>
        <v/>
      </c>
      <c r="G72" s="439"/>
      <c r="H72" s="179" t="str">
        <f>IF('INPUT DATA'!S16="","",'INPUT DATA'!S16)</f>
        <v/>
      </c>
      <c r="I72" s="40" t="str">
        <f t="shared" ca="1" si="0"/>
        <v/>
      </c>
      <c r="J72" s="224"/>
      <c r="K72" s="94"/>
      <c r="L72" s="95"/>
      <c r="M72" s="95"/>
      <c r="N72" s="95"/>
      <c r="O72" s="95"/>
      <c r="P72" s="95"/>
      <c r="Q72" s="103"/>
      <c r="R72" s="96"/>
      <c r="S72" s="203"/>
      <c r="T72" s="203"/>
      <c r="U72" s="203"/>
      <c r="V72" s="203"/>
      <c r="W72" s="203"/>
      <c r="X72" s="203"/>
      <c r="Y72" s="203"/>
      <c r="Z72" s="203"/>
      <c r="AA72" s="203"/>
      <c r="AB72" s="203"/>
      <c r="AC72" s="203"/>
    </row>
    <row r="73" spans="1:29" ht="15">
      <c r="A73" s="203"/>
      <c r="B73" s="223">
        <v>7</v>
      </c>
      <c r="C73" s="440" t="str">
        <f>IF('INPUT DATA'!Q17="","",'INPUT DATA'!Q17)</f>
        <v/>
      </c>
      <c r="D73" s="441"/>
      <c r="E73" s="442"/>
      <c r="F73" s="438" t="str">
        <f>IF('INPUT DATA'!T17="","",'INPUT DATA'!T17)</f>
        <v/>
      </c>
      <c r="G73" s="439"/>
      <c r="H73" s="179" t="str">
        <f>IF('INPUT DATA'!S17="","",'INPUT DATA'!S17)</f>
        <v/>
      </c>
      <c r="I73" s="40" t="str">
        <f t="shared" ca="1" si="0"/>
        <v/>
      </c>
      <c r="J73" s="224"/>
      <c r="K73" s="94"/>
      <c r="L73" s="95"/>
      <c r="M73" s="95"/>
      <c r="N73" s="95"/>
      <c r="O73" s="95"/>
      <c r="P73" s="95"/>
      <c r="Q73" s="103"/>
      <c r="R73" s="96"/>
      <c r="S73" s="203"/>
      <c r="T73" s="203"/>
      <c r="U73" s="203"/>
      <c r="V73" s="203"/>
      <c r="W73" s="203"/>
      <c r="X73" s="203"/>
      <c r="Y73" s="203"/>
      <c r="Z73" s="203"/>
      <c r="AA73" s="203"/>
      <c r="AB73" s="203"/>
      <c r="AC73" s="203"/>
    </row>
    <row r="74" spans="1:29" ht="15">
      <c r="A74" s="203"/>
      <c r="B74" s="223">
        <v>8</v>
      </c>
      <c r="C74" s="440" t="str">
        <f>IF('INPUT DATA'!Q18="","",'INPUT DATA'!Q18)</f>
        <v/>
      </c>
      <c r="D74" s="441"/>
      <c r="E74" s="442"/>
      <c r="F74" s="438" t="str">
        <f>IF('INPUT DATA'!T18="","",'INPUT DATA'!T18)</f>
        <v/>
      </c>
      <c r="G74" s="439"/>
      <c r="H74" s="179" t="str">
        <f>IF('INPUT DATA'!S18="","",'INPUT DATA'!S18)</f>
        <v/>
      </c>
      <c r="I74" s="40" t="str">
        <f t="shared" ca="1" si="0"/>
        <v/>
      </c>
      <c r="J74" s="224"/>
      <c r="K74" s="94"/>
      <c r="L74" s="95"/>
      <c r="M74" s="95"/>
      <c r="N74" s="95"/>
      <c r="O74" s="95"/>
      <c r="P74" s="95"/>
      <c r="Q74" s="103"/>
      <c r="R74" s="96"/>
      <c r="S74" s="203"/>
      <c r="T74" s="203"/>
      <c r="U74" s="203"/>
      <c r="V74" s="203"/>
      <c r="W74" s="203"/>
      <c r="X74" s="203"/>
      <c r="Y74" s="203"/>
      <c r="Z74" s="203"/>
      <c r="AA74" s="203"/>
      <c r="AB74" s="203"/>
      <c r="AC74" s="203"/>
    </row>
    <row r="75" spans="1:29" ht="15">
      <c r="A75" s="203"/>
      <c r="B75" s="223">
        <v>9</v>
      </c>
      <c r="C75" s="440" t="str">
        <f>IF('INPUT DATA'!Q19="","",'INPUT DATA'!Q19)</f>
        <v/>
      </c>
      <c r="D75" s="441"/>
      <c r="E75" s="442"/>
      <c r="F75" s="438" t="str">
        <f>IF('INPUT DATA'!T19="","",'INPUT DATA'!T19)</f>
        <v/>
      </c>
      <c r="G75" s="439"/>
      <c r="H75" s="179" t="str">
        <f>IF('INPUT DATA'!S19="","",'INPUT DATA'!S19)</f>
        <v/>
      </c>
      <c r="I75" s="40" t="str">
        <f t="shared" ca="1" si="0"/>
        <v/>
      </c>
      <c r="J75" s="224"/>
      <c r="K75" s="94"/>
      <c r="L75" s="95"/>
      <c r="M75" s="95"/>
      <c r="N75" s="95"/>
      <c r="O75" s="95"/>
      <c r="P75" s="95"/>
      <c r="Q75" s="103"/>
      <c r="R75" s="96"/>
      <c r="S75" s="203"/>
      <c r="T75" s="203"/>
      <c r="U75" s="203"/>
      <c r="V75" s="203"/>
      <c r="W75" s="203"/>
      <c r="X75" s="203"/>
      <c r="Y75" s="203"/>
      <c r="Z75" s="203"/>
      <c r="AA75" s="203"/>
      <c r="AB75" s="203"/>
      <c r="AC75" s="203"/>
    </row>
    <row r="76" spans="1:29" ht="15">
      <c r="A76" s="203"/>
      <c r="B76" s="223">
        <v>10</v>
      </c>
      <c r="C76" s="440" t="str">
        <f>IF('INPUT DATA'!Q20="","",'INPUT DATA'!Q20)</f>
        <v/>
      </c>
      <c r="D76" s="441"/>
      <c r="E76" s="442"/>
      <c r="F76" s="438" t="str">
        <f>IF('INPUT DATA'!T20="","",'INPUT DATA'!T20)</f>
        <v/>
      </c>
      <c r="G76" s="439"/>
      <c r="H76" s="179" t="str">
        <f>IF('INPUT DATA'!S20="","",'INPUT DATA'!S20)</f>
        <v/>
      </c>
      <c r="I76" s="40" t="str">
        <f t="shared" ca="1" si="0"/>
        <v/>
      </c>
      <c r="J76" s="224"/>
      <c r="K76" s="94"/>
      <c r="L76" s="95"/>
      <c r="M76" s="95"/>
      <c r="N76" s="95"/>
      <c r="O76" s="95"/>
      <c r="P76" s="95"/>
      <c r="Q76" s="103"/>
      <c r="R76" s="96"/>
      <c r="S76" s="203"/>
      <c r="T76" s="203"/>
      <c r="U76" s="203"/>
      <c r="V76" s="203"/>
      <c r="W76" s="203"/>
      <c r="X76" s="203"/>
      <c r="Y76" s="203"/>
      <c r="Z76" s="203"/>
      <c r="AA76" s="203"/>
      <c r="AB76" s="203"/>
      <c r="AC76" s="203"/>
    </row>
    <row r="77" spans="1:29" ht="15">
      <c r="A77" s="203"/>
      <c r="B77" s="223">
        <v>11</v>
      </c>
      <c r="C77" s="440" t="str">
        <f>IF('INPUT DATA'!Q21="","",'INPUT DATA'!Q21)</f>
        <v/>
      </c>
      <c r="D77" s="441"/>
      <c r="E77" s="442"/>
      <c r="F77" s="438" t="str">
        <f>IF('INPUT DATA'!T21="","",'INPUT DATA'!T21)</f>
        <v/>
      </c>
      <c r="G77" s="439"/>
      <c r="H77" s="179" t="str">
        <f>IF('INPUT DATA'!S21="","",'INPUT DATA'!S21)</f>
        <v/>
      </c>
      <c r="I77" s="40" t="str">
        <f t="shared" ca="1" si="0"/>
        <v/>
      </c>
      <c r="J77" s="224"/>
      <c r="K77" s="94"/>
      <c r="L77" s="95"/>
      <c r="M77" s="95"/>
      <c r="N77" s="95"/>
      <c r="O77" s="95"/>
      <c r="P77" s="95"/>
      <c r="Q77" s="103"/>
      <c r="R77" s="96"/>
      <c r="S77" s="203"/>
      <c r="T77" s="203"/>
      <c r="U77" s="203"/>
      <c r="V77" s="203"/>
      <c r="W77" s="203"/>
      <c r="X77" s="203"/>
      <c r="Y77" s="203"/>
      <c r="Z77" s="203"/>
      <c r="AA77" s="203"/>
      <c r="AB77" s="203"/>
      <c r="AC77" s="203"/>
    </row>
    <row r="78" spans="1:29" ht="15">
      <c r="A78" s="203"/>
      <c r="B78" s="223">
        <v>12</v>
      </c>
      <c r="C78" s="440" t="str">
        <f>IF('INPUT DATA'!Q22="","",'INPUT DATA'!Q22)</f>
        <v/>
      </c>
      <c r="D78" s="441"/>
      <c r="E78" s="442"/>
      <c r="F78" s="438" t="str">
        <f>IF('INPUT DATA'!T22="","",'INPUT DATA'!T22)</f>
        <v/>
      </c>
      <c r="G78" s="439"/>
      <c r="H78" s="179" t="str">
        <f>IF('INPUT DATA'!S22="","",'INPUT DATA'!S22)</f>
        <v/>
      </c>
      <c r="I78" s="40" t="str">
        <f t="shared" ca="1" si="0"/>
        <v/>
      </c>
      <c r="J78" s="224"/>
      <c r="K78" s="94"/>
      <c r="L78" s="95"/>
      <c r="M78" s="95"/>
      <c r="N78" s="95"/>
      <c r="O78" s="95"/>
      <c r="P78" s="95"/>
      <c r="Q78" s="103"/>
      <c r="R78" s="96"/>
      <c r="S78" s="203"/>
      <c r="T78" s="203"/>
      <c r="U78" s="203"/>
      <c r="V78" s="203"/>
      <c r="W78" s="203"/>
      <c r="X78" s="203"/>
      <c r="Y78" s="203"/>
      <c r="Z78" s="203"/>
      <c r="AA78" s="203"/>
      <c r="AB78" s="203"/>
      <c r="AC78" s="203"/>
    </row>
    <row r="79" spans="1:29" ht="15">
      <c r="A79" s="203"/>
      <c r="B79" s="223">
        <v>13</v>
      </c>
      <c r="C79" s="440" t="str">
        <f>IF('INPUT DATA'!Q23="","",'INPUT DATA'!Q23)</f>
        <v/>
      </c>
      <c r="D79" s="441"/>
      <c r="E79" s="442"/>
      <c r="F79" s="438" t="str">
        <f>IF('INPUT DATA'!T23="","",'INPUT DATA'!T23)</f>
        <v/>
      </c>
      <c r="G79" s="439"/>
      <c r="H79" s="179" t="str">
        <f>IF('INPUT DATA'!S23="","",'INPUT DATA'!S23)</f>
        <v/>
      </c>
      <c r="I79" s="40" t="str">
        <f t="shared" ca="1" si="0"/>
        <v/>
      </c>
      <c r="J79" s="224"/>
      <c r="K79" s="94"/>
      <c r="L79" s="95"/>
      <c r="M79" s="95"/>
      <c r="N79" s="95"/>
      <c r="O79" s="95"/>
      <c r="P79" s="95"/>
      <c r="Q79" s="103"/>
      <c r="R79" s="96"/>
      <c r="S79" s="203"/>
      <c r="T79" s="203"/>
      <c r="U79" s="203"/>
      <c r="V79" s="203"/>
      <c r="W79" s="203"/>
      <c r="X79" s="203"/>
      <c r="Y79" s="203"/>
      <c r="Z79" s="203"/>
      <c r="AA79" s="203"/>
      <c r="AB79" s="203"/>
      <c r="AC79" s="203"/>
    </row>
    <row r="80" spans="1:29" ht="15">
      <c r="A80" s="203"/>
      <c r="B80" s="223">
        <v>14</v>
      </c>
      <c r="C80" s="440" t="str">
        <f>IF('INPUT DATA'!Q24="","",'INPUT DATA'!Q24)</f>
        <v/>
      </c>
      <c r="D80" s="441"/>
      <c r="E80" s="442"/>
      <c r="F80" s="438" t="str">
        <f>IF('INPUT DATA'!T24="","",'INPUT DATA'!T24)</f>
        <v/>
      </c>
      <c r="G80" s="439"/>
      <c r="H80" s="179" t="str">
        <f>IF('INPUT DATA'!S24="","",'INPUT DATA'!S24)</f>
        <v/>
      </c>
      <c r="I80" s="40" t="str">
        <f t="shared" ca="1" si="0"/>
        <v/>
      </c>
      <c r="J80" s="224"/>
      <c r="K80" s="94"/>
      <c r="L80" s="95"/>
      <c r="M80" s="95"/>
      <c r="N80" s="95"/>
      <c r="O80" s="95"/>
      <c r="P80" s="95"/>
      <c r="Q80" s="103"/>
      <c r="R80" s="96"/>
      <c r="S80" s="203"/>
      <c r="T80" s="203"/>
      <c r="U80" s="203"/>
      <c r="V80" s="203"/>
      <c r="W80" s="203"/>
      <c r="X80" s="203"/>
      <c r="Y80" s="203"/>
      <c r="Z80" s="203"/>
      <c r="AA80" s="203"/>
      <c r="AB80" s="203"/>
      <c r="AC80" s="203"/>
    </row>
    <row r="81" spans="1:29" ht="15">
      <c r="A81" s="203"/>
      <c r="B81" s="223">
        <v>15</v>
      </c>
      <c r="C81" s="440" t="str">
        <f>IF('INPUT DATA'!Q25="","",'INPUT DATA'!Q25)</f>
        <v/>
      </c>
      <c r="D81" s="441"/>
      <c r="E81" s="442"/>
      <c r="F81" s="438" t="str">
        <f>IF('INPUT DATA'!T25="","",'INPUT DATA'!T25)</f>
        <v/>
      </c>
      <c r="G81" s="439"/>
      <c r="H81" s="179" t="str">
        <f>IF('INPUT DATA'!S25="","",'INPUT DATA'!S25)</f>
        <v/>
      </c>
      <c r="I81" s="40" t="str">
        <f t="shared" ref="I81:I116" ca="1" si="1">IF(H81="","",DATEDIF(H81,TODAY(),"Y"))</f>
        <v/>
      </c>
      <c r="J81" s="224"/>
      <c r="K81" s="94"/>
      <c r="L81" s="95"/>
      <c r="M81" s="95"/>
      <c r="N81" s="95"/>
      <c r="O81" s="95"/>
      <c r="P81" s="95"/>
      <c r="Q81" s="103"/>
      <c r="R81" s="96"/>
      <c r="S81" s="203"/>
      <c r="T81" s="203"/>
      <c r="U81" s="203"/>
      <c r="V81" s="203"/>
      <c r="W81" s="203"/>
      <c r="X81" s="203"/>
      <c r="Y81" s="203"/>
      <c r="Z81" s="203"/>
      <c r="AA81" s="203"/>
      <c r="AB81" s="203"/>
      <c r="AC81" s="203"/>
    </row>
    <row r="82" spans="1:29" ht="15">
      <c r="A82" s="203"/>
      <c r="B82" s="223">
        <v>16</v>
      </c>
      <c r="C82" s="440" t="str">
        <f>IF('INPUT DATA'!Q26="","",'INPUT DATA'!Q26)</f>
        <v/>
      </c>
      <c r="D82" s="441"/>
      <c r="E82" s="442"/>
      <c r="F82" s="438" t="str">
        <f>IF('INPUT DATA'!T26="","",'INPUT DATA'!T26)</f>
        <v/>
      </c>
      <c r="G82" s="439"/>
      <c r="H82" s="179" t="str">
        <f>IF('INPUT DATA'!S26="","",'INPUT DATA'!S26)</f>
        <v/>
      </c>
      <c r="I82" s="40" t="str">
        <f t="shared" ca="1" si="1"/>
        <v/>
      </c>
      <c r="J82" s="224"/>
      <c r="K82" s="94"/>
      <c r="L82" s="95"/>
      <c r="M82" s="95"/>
      <c r="N82" s="95"/>
      <c r="O82" s="95"/>
      <c r="P82" s="95"/>
      <c r="Q82" s="103"/>
      <c r="R82" s="96"/>
      <c r="S82" s="203"/>
      <c r="T82" s="203"/>
      <c r="U82" s="203"/>
      <c r="V82" s="203"/>
      <c r="W82" s="203"/>
      <c r="X82" s="203"/>
      <c r="Y82" s="203"/>
      <c r="Z82" s="203"/>
      <c r="AA82" s="203"/>
      <c r="AB82" s="203"/>
      <c r="AC82" s="203"/>
    </row>
    <row r="83" spans="1:29" ht="15">
      <c r="A83" s="203"/>
      <c r="B83" s="223">
        <v>17</v>
      </c>
      <c r="C83" s="440" t="str">
        <f>IF('INPUT DATA'!Q27="","",'INPUT DATA'!Q27)</f>
        <v/>
      </c>
      <c r="D83" s="441"/>
      <c r="E83" s="442"/>
      <c r="F83" s="438" t="str">
        <f>IF('INPUT DATA'!T27="","",'INPUT DATA'!T27)</f>
        <v/>
      </c>
      <c r="G83" s="439"/>
      <c r="H83" s="179" t="str">
        <f>IF('INPUT DATA'!S27="","",'INPUT DATA'!S27)</f>
        <v/>
      </c>
      <c r="I83" s="40" t="str">
        <f t="shared" ca="1" si="1"/>
        <v/>
      </c>
      <c r="J83" s="224"/>
      <c r="K83" s="94"/>
      <c r="L83" s="95"/>
      <c r="M83" s="95"/>
      <c r="N83" s="95"/>
      <c r="O83" s="95"/>
      <c r="P83" s="95"/>
      <c r="Q83" s="103"/>
      <c r="R83" s="96"/>
      <c r="S83" s="203"/>
      <c r="T83" s="203"/>
      <c r="U83" s="203"/>
      <c r="V83" s="203"/>
      <c r="W83" s="203"/>
      <c r="X83" s="203"/>
      <c r="Y83" s="203"/>
      <c r="Z83" s="203"/>
      <c r="AA83" s="203"/>
      <c r="AB83" s="203"/>
      <c r="AC83" s="203"/>
    </row>
    <row r="84" spans="1:29" ht="15">
      <c r="A84" s="203"/>
      <c r="B84" s="223">
        <v>18</v>
      </c>
      <c r="C84" s="440" t="str">
        <f>IF('INPUT DATA'!Q28="","",'INPUT DATA'!Q28)</f>
        <v/>
      </c>
      <c r="D84" s="441"/>
      <c r="E84" s="442"/>
      <c r="F84" s="438" t="str">
        <f>IF('INPUT DATA'!T28="","",'INPUT DATA'!T28)</f>
        <v/>
      </c>
      <c r="G84" s="439"/>
      <c r="H84" s="179" t="str">
        <f>IF('INPUT DATA'!S28="","",'INPUT DATA'!S28)</f>
        <v/>
      </c>
      <c r="I84" s="40" t="str">
        <f t="shared" ca="1" si="1"/>
        <v/>
      </c>
      <c r="J84" s="224"/>
      <c r="K84" s="94"/>
      <c r="L84" s="95"/>
      <c r="M84" s="95"/>
      <c r="N84" s="95"/>
      <c r="O84" s="95"/>
      <c r="P84" s="95"/>
      <c r="Q84" s="103"/>
      <c r="R84" s="96"/>
      <c r="S84" s="203"/>
      <c r="T84" s="203"/>
      <c r="U84" s="203"/>
      <c r="V84" s="203"/>
      <c r="W84" s="203"/>
      <c r="X84" s="203"/>
      <c r="Y84" s="203"/>
      <c r="Z84" s="203"/>
      <c r="AA84" s="203"/>
      <c r="AB84" s="203"/>
      <c r="AC84" s="203"/>
    </row>
    <row r="85" spans="1:29" ht="15">
      <c r="A85" s="203"/>
      <c r="B85" s="223">
        <v>19</v>
      </c>
      <c r="C85" s="440" t="str">
        <f>IF('INPUT DATA'!Q29="","",'INPUT DATA'!Q29)</f>
        <v/>
      </c>
      <c r="D85" s="441"/>
      <c r="E85" s="442"/>
      <c r="F85" s="438" t="str">
        <f>IF('INPUT DATA'!T29="","",'INPUT DATA'!T29)</f>
        <v/>
      </c>
      <c r="G85" s="439"/>
      <c r="H85" s="179" t="str">
        <f>IF('INPUT DATA'!S29="","",'INPUT DATA'!S29)</f>
        <v/>
      </c>
      <c r="I85" s="40" t="str">
        <f t="shared" ca="1" si="1"/>
        <v/>
      </c>
      <c r="J85" s="224"/>
      <c r="K85" s="94"/>
      <c r="L85" s="95"/>
      <c r="M85" s="95"/>
      <c r="N85" s="95"/>
      <c r="O85" s="95"/>
      <c r="P85" s="95"/>
      <c r="Q85" s="103"/>
      <c r="R85" s="96"/>
      <c r="S85" s="203"/>
      <c r="T85" s="203"/>
      <c r="U85" s="203"/>
      <c r="V85" s="203"/>
      <c r="W85" s="203"/>
      <c r="X85" s="203"/>
      <c r="Y85" s="203"/>
      <c r="Z85" s="203"/>
      <c r="AA85" s="203"/>
      <c r="AB85" s="203"/>
      <c r="AC85" s="203"/>
    </row>
    <row r="86" spans="1:29" ht="15">
      <c r="A86" s="203"/>
      <c r="B86" s="226">
        <v>20</v>
      </c>
      <c r="C86" s="440" t="str">
        <f>IF('INPUT DATA'!Q30="","",'INPUT DATA'!Q30)</f>
        <v/>
      </c>
      <c r="D86" s="441"/>
      <c r="E86" s="442"/>
      <c r="F86" s="438" t="str">
        <f>IF('INPUT DATA'!T30="","",'INPUT DATA'!T30)</f>
        <v/>
      </c>
      <c r="G86" s="439"/>
      <c r="H86" s="179" t="str">
        <f>IF('INPUT DATA'!S30="","",'INPUT DATA'!S30)</f>
        <v/>
      </c>
      <c r="I86" s="40" t="str">
        <f t="shared" ca="1" si="1"/>
        <v/>
      </c>
      <c r="J86" s="224"/>
      <c r="K86" s="97"/>
      <c r="L86" s="98"/>
      <c r="M86" s="98"/>
      <c r="N86" s="98"/>
      <c r="O86" s="98"/>
      <c r="P86" s="98"/>
      <c r="Q86" s="104"/>
      <c r="R86" s="99"/>
      <c r="S86" s="203"/>
      <c r="T86" s="203"/>
      <c r="U86" s="203"/>
      <c r="V86" s="203"/>
      <c r="W86" s="203"/>
      <c r="X86" s="203"/>
      <c r="Y86" s="203"/>
      <c r="Z86" s="203"/>
      <c r="AA86" s="203"/>
      <c r="AB86" s="203"/>
      <c r="AC86" s="203"/>
    </row>
    <row r="87" spans="1:29" ht="15">
      <c r="A87" s="203"/>
      <c r="B87" s="226">
        <v>21</v>
      </c>
      <c r="C87" s="440" t="str">
        <f>IF('INPUT DATA'!Q31="","",'INPUT DATA'!Q31)</f>
        <v/>
      </c>
      <c r="D87" s="441"/>
      <c r="E87" s="442"/>
      <c r="F87" s="438" t="str">
        <f>IF('INPUT DATA'!T31="","",'INPUT DATA'!T31)</f>
        <v/>
      </c>
      <c r="G87" s="439"/>
      <c r="H87" s="179" t="str">
        <f>IF('INPUT DATA'!S31="","",'INPUT DATA'!S31)</f>
        <v/>
      </c>
      <c r="I87" s="40" t="str">
        <f t="shared" ca="1" si="1"/>
        <v/>
      </c>
      <c r="J87" s="224"/>
      <c r="K87" s="94"/>
      <c r="L87" s="95"/>
      <c r="M87" s="95"/>
      <c r="N87" s="95"/>
      <c r="O87" s="95"/>
      <c r="P87" s="95"/>
      <c r="Q87" s="103"/>
      <c r="R87" s="96"/>
      <c r="S87" s="203"/>
      <c r="T87" s="203"/>
      <c r="U87" s="203"/>
      <c r="V87" s="203"/>
      <c r="W87" s="203"/>
      <c r="X87" s="203"/>
      <c r="Y87" s="203"/>
      <c r="Z87" s="203"/>
      <c r="AA87" s="203"/>
      <c r="AB87" s="203"/>
      <c r="AC87" s="203"/>
    </row>
    <row r="88" spans="1:29" ht="15">
      <c r="A88" s="203"/>
      <c r="B88" s="226">
        <v>22</v>
      </c>
      <c r="C88" s="440" t="str">
        <f>IF('INPUT DATA'!Q32="","",'INPUT DATA'!Q32)</f>
        <v/>
      </c>
      <c r="D88" s="441"/>
      <c r="E88" s="442"/>
      <c r="F88" s="438" t="str">
        <f>IF('INPUT DATA'!T32="","",'INPUT DATA'!T32)</f>
        <v/>
      </c>
      <c r="G88" s="439"/>
      <c r="H88" s="179" t="str">
        <f>IF('INPUT DATA'!S32="","",'INPUT DATA'!S32)</f>
        <v/>
      </c>
      <c r="I88" s="40" t="str">
        <f t="shared" ca="1" si="1"/>
        <v/>
      </c>
      <c r="J88" s="224"/>
      <c r="K88" s="94"/>
      <c r="L88" s="95"/>
      <c r="M88" s="95"/>
      <c r="N88" s="95"/>
      <c r="O88" s="95"/>
      <c r="P88" s="95"/>
      <c r="Q88" s="103"/>
      <c r="R88" s="96"/>
      <c r="S88" s="203"/>
      <c r="T88" s="203"/>
      <c r="U88" s="203"/>
      <c r="V88" s="203"/>
      <c r="W88" s="203"/>
      <c r="X88" s="203"/>
      <c r="Y88" s="203"/>
      <c r="Z88" s="203"/>
      <c r="AA88" s="203"/>
      <c r="AB88" s="203"/>
      <c r="AC88" s="203"/>
    </row>
    <row r="89" spans="1:29" ht="15">
      <c r="A89" s="203"/>
      <c r="B89" s="226">
        <v>23</v>
      </c>
      <c r="C89" s="440" t="str">
        <f>IF('INPUT DATA'!Q33="","",'INPUT DATA'!Q33)</f>
        <v/>
      </c>
      <c r="D89" s="441"/>
      <c r="E89" s="442"/>
      <c r="F89" s="438" t="str">
        <f>IF('INPUT DATA'!T33="","",'INPUT DATA'!T33)</f>
        <v/>
      </c>
      <c r="G89" s="439"/>
      <c r="H89" s="179" t="str">
        <f>IF('INPUT DATA'!S33="","",'INPUT DATA'!S33)</f>
        <v/>
      </c>
      <c r="I89" s="40" t="str">
        <f t="shared" ca="1" si="1"/>
        <v/>
      </c>
      <c r="J89" s="224"/>
      <c r="K89" s="94"/>
      <c r="L89" s="95"/>
      <c r="M89" s="95"/>
      <c r="N89" s="95"/>
      <c r="O89" s="95"/>
      <c r="P89" s="95"/>
      <c r="Q89" s="103"/>
      <c r="R89" s="96"/>
      <c r="S89" s="203"/>
      <c r="T89" s="203"/>
      <c r="U89" s="203"/>
      <c r="V89" s="203"/>
      <c r="W89" s="203"/>
      <c r="X89" s="203"/>
      <c r="Y89" s="203"/>
      <c r="Z89" s="203"/>
      <c r="AA89" s="203"/>
      <c r="AB89" s="203"/>
      <c r="AC89" s="203"/>
    </row>
    <row r="90" spans="1:29" ht="15">
      <c r="A90" s="203"/>
      <c r="B90" s="226">
        <v>24</v>
      </c>
      <c r="C90" s="440" t="str">
        <f>IF('INPUT DATA'!Q34="","",'INPUT DATA'!Q34)</f>
        <v/>
      </c>
      <c r="D90" s="441"/>
      <c r="E90" s="442"/>
      <c r="F90" s="438" t="str">
        <f>IF('INPUT DATA'!T34="","",'INPUT DATA'!T34)</f>
        <v/>
      </c>
      <c r="G90" s="439"/>
      <c r="H90" s="179" t="str">
        <f>IF('INPUT DATA'!S34="","",'INPUT DATA'!S34)</f>
        <v/>
      </c>
      <c r="I90" s="40" t="str">
        <f t="shared" ca="1" si="1"/>
        <v/>
      </c>
      <c r="J90" s="224"/>
      <c r="K90" s="94"/>
      <c r="L90" s="95"/>
      <c r="M90" s="95"/>
      <c r="N90" s="95"/>
      <c r="O90" s="95"/>
      <c r="P90" s="95"/>
      <c r="Q90" s="103"/>
      <c r="R90" s="96"/>
      <c r="S90" s="203"/>
      <c r="T90" s="203"/>
      <c r="U90" s="203"/>
      <c r="V90" s="203"/>
      <c r="W90" s="203"/>
      <c r="X90" s="203"/>
      <c r="Y90" s="203"/>
      <c r="Z90" s="203"/>
      <c r="AA90" s="203"/>
      <c r="AB90" s="203"/>
      <c r="AC90" s="203"/>
    </row>
    <row r="91" spans="1:29" ht="15">
      <c r="A91" s="203"/>
      <c r="B91" s="226">
        <v>25</v>
      </c>
      <c r="C91" s="440" t="str">
        <f>IF('INPUT DATA'!Q35="","",'INPUT DATA'!Q35)</f>
        <v/>
      </c>
      <c r="D91" s="441"/>
      <c r="E91" s="442"/>
      <c r="F91" s="438" t="str">
        <f>IF('INPUT DATA'!T35="","",'INPUT DATA'!T35)</f>
        <v/>
      </c>
      <c r="G91" s="439"/>
      <c r="H91" s="179" t="str">
        <f>IF('INPUT DATA'!S35="","",'INPUT DATA'!S35)</f>
        <v/>
      </c>
      <c r="I91" s="40" t="str">
        <f t="shared" ca="1" si="1"/>
        <v/>
      </c>
      <c r="J91" s="224"/>
      <c r="K91" s="94"/>
      <c r="L91" s="95"/>
      <c r="M91" s="95"/>
      <c r="N91" s="95"/>
      <c r="O91" s="95"/>
      <c r="P91" s="95"/>
      <c r="Q91" s="103"/>
      <c r="R91" s="96"/>
      <c r="S91" s="203"/>
      <c r="T91" s="203"/>
      <c r="U91" s="203"/>
      <c r="V91" s="203"/>
      <c r="W91" s="203"/>
      <c r="X91" s="203"/>
      <c r="Y91" s="203"/>
      <c r="Z91" s="203"/>
      <c r="AA91" s="203"/>
      <c r="AB91" s="203"/>
      <c r="AC91" s="203"/>
    </row>
    <row r="92" spans="1:29" ht="15">
      <c r="A92" s="203"/>
      <c r="B92" s="226">
        <v>26</v>
      </c>
      <c r="C92" s="440" t="str">
        <f>IF('INPUT DATA'!Q36="","",'INPUT DATA'!Q36)</f>
        <v/>
      </c>
      <c r="D92" s="441"/>
      <c r="E92" s="442"/>
      <c r="F92" s="438" t="str">
        <f>IF('INPUT DATA'!T36="","",'INPUT DATA'!T36)</f>
        <v/>
      </c>
      <c r="G92" s="439"/>
      <c r="H92" s="179" t="str">
        <f>IF('INPUT DATA'!S36="","",'INPUT DATA'!S36)</f>
        <v/>
      </c>
      <c r="I92" s="40" t="str">
        <f t="shared" ca="1" si="1"/>
        <v/>
      </c>
      <c r="J92" s="224"/>
      <c r="K92" s="94"/>
      <c r="L92" s="95"/>
      <c r="M92" s="95"/>
      <c r="N92" s="95"/>
      <c r="O92" s="95"/>
      <c r="P92" s="95"/>
      <c r="Q92" s="103"/>
      <c r="R92" s="96"/>
      <c r="S92" s="203"/>
      <c r="T92" s="203"/>
      <c r="U92" s="203"/>
      <c r="V92" s="203"/>
      <c r="W92" s="203"/>
      <c r="X92" s="203"/>
      <c r="Y92" s="203"/>
      <c r="Z92" s="203"/>
      <c r="AA92" s="203"/>
      <c r="AB92" s="203"/>
      <c r="AC92" s="203"/>
    </row>
    <row r="93" spans="1:29" ht="15">
      <c r="A93" s="203"/>
      <c r="B93" s="226">
        <v>27</v>
      </c>
      <c r="C93" s="440" t="str">
        <f>IF('INPUT DATA'!Q37="","",'INPUT DATA'!Q37)</f>
        <v/>
      </c>
      <c r="D93" s="441"/>
      <c r="E93" s="442"/>
      <c r="F93" s="438" t="str">
        <f>IF('INPUT DATA'!T37="","",'INPUT DATA'!T37)</f>
        <v/>
      </c>
      <c r="G93" s="439"/>
      <c r="H93" s="179" t="str">
        <f>IF('INPUT DATA'!S37="","",'INPUT DATA'!S37)</f>
        <v/>
      </c>
      <c r="I93" s="40" t="str">
        <f t="shared" ca="1" si="1"/>
        <v/>
      </c>
      <c r="J93" s="224"/>
      <c r="K93" s="94"/>
      <c r="L93" s="95"/>
      <c r="M93" s="95"/>
      <c r="N93" s="95"/>
      <c r="O93" s="95"/>
      <c r="P93" s="95"/>
      <c r="Q93" s="103"/>
      <c r="R93" s="96"/>
      <c r="S93" s="203"/>
      <c r="T93" s="203"/>
      <c r="U93" s="203"/>
      <c r="V93" s="203"/>
      <c r="W93" s="203"/>
      <c r="X93" s="203"/>
      <c r="Y93" s="203"/>
      <c r="Z93" s="203"/>
      <c r="AA93" s="203"/>
      <c r="AB93" s="203"/>
      <c r="AC93" s="203"/>
    </row>
    <row r="94" spans="1:29" ht="15">
      <c r="A94" s="203"/>
      <c r="B94" s="226">
        <v>28</v>
      </c>
      <c r="C94" s="440" t="str">
        <f>IF('INPUT DATA'!Q38="","",'INPUT DATA'!Q38)</f>
        <v/>
      </c>
      <c r="D94" s="441"/>
      <c r="E94" s="442"/>
      <c r="F94" s="438" t="str">
        <f>IF('INPUT DATA'!T38="","",'INPUT DATA'!T38)</f>
        <v/>
      </c>
      <c r="G94" s="439"/>
      <c r="H94" s="179" t="str">
        <f>IF('INPUT DATA'!S38="","",'INPUT DATA'!S38)</f>
        <v/>
      </c>
      <c r="I94" s="40" t="str">
        <f t="shared" ca="1" si="1"/>
        <v/>
      </c>
      <c r="J94" s="224"/>
      <c r="K94" s="94"/>
      <c r="L94" s="95"/>
      <c r="M94" s="95"/>
      <c r="N94" s="95"/>
      <c r="O94" s="95"/>
      <c r="P94" s="95"/>
      <c r="Q94" s="103"/>
      <c r="R94" s="96"/>
      <c r="S94" s="203"/>
      <c r="T94" s="203"/>
      <c r="U94" s="203"/>
      <c r="V94" s="203"/>
      <c r="W94" s="203"/>
      <c r="X94" s="203"/>
      <c r="Y94" s="203"/>
      <c r="Z94" s="203"/>
      <c r="AA94" s="203"/>
      <c r="AB94" s="203"/>
      <c r="AC94" s="203"/>
    </row>
    <row r="95" spans="1:29" ht="15">
      <c r="A95" s="203"/>
      <c r="B95" s="226">
        <v>29</v>
      </c>
      <c r="C95" s="440" t="str">
        <f>IF('INPUT DATA'!Q39="","",'INPUT DATA'!Q39)</f>
        <v/>
      </c>
      <c r="D95" s="441"/>
      <c r="E95" s="442"/>
      <c r="F95" s="438" t="str">
        <f>IF('INPUT DATA'!T39="","",'INPUT DATA'!T39)</f>
        <v/>
      </c>
      <c r="G95" s="439"/>
      <c r="H95" s="179" t="str">
        <f>IF('INPUT DATA'!S39="","",'INPUT DATA'!S39)</f>
        <v/>
      </c>
      <c r="I95" s="40" t="str">
        <f t="shared" ca="1" si="1"/>
        <v/>
      </c>
      <c r="J95" s="224"/>
      <c r="K95" s="94"/>
      <c r="L95" s="95"/>
      <c r="M95" s="95"/>
      <c r="N95" s="95"/>
      <c r="O95" s="95"/>
      <c r="P95" s="95"/>
      <c r="Q95" s="103"/>
      <c r="R95" s="96"/>
      <c r="S95" s="203"/>
      <c r="T95" s="203"/>
      <c r="U95" s="203"/>
      <c r="V95" s="203"/>
      <c r="W95" s="203"/>
      <c r="X95" s="203"/>
      <c r="Y95" s="203"/>
      <c r="Z95" s="203"/>
      <c r="AA95" s="203"/>
      <c r="AB95" s="203"/>
      <c r="AC95" s="203"/>
    </row>
    <row r="96" spans="1:29" ht="15">
      <c r="A96" s="203"/>
      <c r="B96" s="226">
        <v>30</v>
      </c>
      <c r="C96" s="440" t="str">
        <f>IF('INPUT DATA'!Q40="","",'INPUT DATA'!Q40)</f>
        <v/>
      </c>
      <c r="D96" s="441"/>
      <c r="E96" s="442"/>
      <c r="F96" s="438" t="str">
        <f>IF('INPUT DATA'!T40="","",'INPUT DATA'!T40)</f>
        <v/>
      </c>
      <c r="G96" s="439"/>
      <c r="H96" s="179" t="str">
        <f>IF('INPUT DATA'!S40="","",'INPUT DATA'!S40)</f>
        <v/>
      </c>
      <c r="I96" s="40" t="str">
        <f t="shared" ca="1" si="1"/>
        <v/>
      </c>
      <c r="J96" s="224"/>
      <c r="K96" s="94"/>
      <c r="L96" s="95"/>
      <c r="M96" s="95"/>
      <c r="N96" s="95"/>
      <c r="O96" s="95"/>
      <c r="P96" s="95"/>
      <c r="Q96" s="103"/>
      <c r="R96" s="96"/>
      <c r="S96" s="203"/>
      <c r="T96" s="203"/>
      <c r="U96" s="203"/>
      <c r="V96" s="203"/>
      <c r="W96" s="203"/>
      <c r="X96" s="203"/>
      <c r="Y96" s="203"/>
      <c r="Z96" s="203"/>
      <c r="AA96" s="203"/>
      <c r="AB96" s="203"/>
      <c r="AC96" s="203"/>
    </row>
    <row r="97" spans="1:29" ht="15">
      <c r="A97" s="203"/>
      <c r="B97" s="226">
        <v>31</v>
      </c>
      <c r="C97" s="440" t="str">
        <f>IF('INPUT DATA'!Q41="","",'INPUT DATA'!Q41)</f>
        <v/>
      </c>
      <c r="D97" s="441"/>
      <c r="E97" s="442"/>
      <c r="F97" s="438" t="str">
        <f>IF('INPUT DATA'!T41="","",'INPUT DATA'!T41)</f>
        <v/>
      </c>
      <c r="G97" s="439"/>
      <c r="H97" s="179" t="str">
        <f>IF('INPUT DATA'!S41="","",'INPUT DATA'!S41)</f>
        <v/>
      </c>
      <c r="I97" s="40" t="str">
        <f t="shared" ca="1" si="1"/>
        <v/>
      </c>
      <c r="J97" s="224"/>
      <c r="K97" s="94"/>
      <c r="L97" s="95"/>
      <c r="M97" s="95"/>
      <c r="N97" s="95"/>
      <c r="O97" s="95"/>
      <c r="P97" s="95"/>
      <c r="Q97" s="103"/>
      <c r="R97" s="96"/>
      <c r="S97" s="203"/>
      <c r="T97" s="203"/>
      <c r="U97" s="203"/>
      <c r="V97" s="203"/>
      <c r="W97" s="203"/>
      <c r="X97" s="203"/>
      <c r="Y97" s="203"/>
      <c r="Z97" s="203"/>
      <c r="AA97" s="203"/>
      <c r="AB97" s="203"/>
      <c r="AC97" s="203"/>
    </row>
    <row r="98" spans="1:29" ht="15">
      <c r="A98" s="203"/>
      <c r="B98" s="226">
        <v>32</v>
      </c>
      <c r="C98" s="440" t="str">
        <f>IF('INPUT DATA'!Q42="","",'INPUT DATA'!Q42)</f>
        <v/>
      </c>
      <c r="D98" s="441"/>
      <c r="E98" s="442"/>
      <c r="F98" s="438" t="str">
        <f>IF('INPUT DATA'!T42="","",'INPUT DATA'!T42)</f>
        <v/>
      </c>
      <c r="G98" s="439"/>
      <c r="H98" s="179" t="str">
        <f>IF('INPUT DATA'!S42="","",'INPUT DATA'!S42)</f>
        <v/>
      </c>
      <c r="I98" s="40" t="str">
        <f t="shared" ca="1" si="1"/>
        <v/>
      </c>
      <c r="J98" s="224"/>
      <c r="K98" s="94"/>
      <c r="L98" s="95"/>
      <c r="M98" s="95"/>
      <c r="N98" s="95"/>
      <c r="O98" s="95"/>
      <c r="P98" s="95"/>
      <c r="Q98" s="103"/>
      <c r="R98" s="96"/>
      <c r="S98" s="203"/>
      <c r="T98" s="203"/>
      <c r="U98" s="203"/>
      <c r="V98" s="203"/>
      <c r="W98" s="203"/>
      <c r="X98" s="203"/>
      <c r="Y98" s="203"/>
      <c r="Z98" s="203"/>
      <c r="AA98" s="203"/>
      <c r="AB98" s="203"/>
      <c r="AC98" s="203"/>
    </row>
    <row r="99" spans="1:29" ht="15">
      <c r="A99" s="203"/>
      <c r="B99" s="226">
        <v>33</v>
      </c>
      <c r="C99" s="440" t="str">
        <f>IF('INPUT DATA'!Q43="","",'INPUT DATA'!Q43)</f>
        <v/>
      </c>
      <c r="D99" s="441"/>
      <c r="E99" s="442"/>
      <c r="F99" s="438" t="str">
        <f>IF('INPUT DATA'!T43="","",'INPUT DATA'!T43)</f>
        <v/>
      </c>
      <c r="G99" s="439"/>
      <c r="H99" s="179" t="str">
        <f>IF('INPUT DATA'!S43="","",'INPUT DATA'!S43)</f>
        <v/>
      </c>
      <c r="I99" s="40" t="str">
        <f t="shared" ca="1" si="1"/>
        <v/>
      </c>
      <c r="J99" s="224"/>
      <c r="K99" s="94"/>
      <c r="L99" s="95"/>
      <c r="M99" s="95"/>
      <c r="N99" s="95"/>
      <c r="O99" s="95"/>
      <c r="P99" s="95"/>
      <c r="Q99" s="103"/>
      <c r="R99" s="96"/>
      <c r="S99" s="203"/>
      <c r="T99" s="203"/>
      <c r="U99" s="203"/>
      <c r="V99" s="203"/>
      <c r="W99" s="203"/>
      <c r="X99" s="203"/>
      <c r="Y99" s="203"/>
      <c r="Z99" s="203"/>
      <c r="AA99" s="203"/>
      <c r="AB99" s="203"/>
      <c r="AC99" s="203"/>
    </row>
    <row r="100" spans="1:29" ht="15">
      <c r="A100" s="203"/>
      <c r="B100" s="226">
        <v>34</v>
      </c>
      <c r="C100" s="440" t="str">
        <f>IF('INPUT DATA'!Q44="","",'INPUT DATA'!Q44)</f>
        <v/>
      </c>
      <c r="D100" s="441"/>
      <c r="E100" s="442"/>
      <c r="F100" s="438" t="str">
        <f>IF('INPUT DATA'!T44="","",'INPUT DATA'!T44)</f>
        <v/>
      </c>
      <c r="G100" s="439"/>
      <c r="H100" s="179" t="str">
        <f>IF('INPUT DATA'!S44="","",'INPUT DATA'!S44)</f>
        <v/>
      </c>
      <c r="I100" s="40" t="str">
        <f t="shared" ca="1" si="1"/>
        <v/>
      </c>
      <c r="J100" s="224"/>
      <c r="K100" s="94"/>
      <c r="L100" s="95"/>
      <c r="M100" s="95"/>
      <c r="N100" s="95"/>
      <c r="O100" s="95"/>
      <c r="P100" s="95"/>
      <c r="Q100" s="103"/>
      <c r="R100" s="96"/>
      <c r="S100" s="203"/>
      <c r="T100" s="203"/>
      <c r="U100" s="203"/>
      <c r="V100" s="203"/>
      <c r="W100" s="203"/>
      <c r="X100" s="203"/>
      <c r="Y100" s="203"/>
      <c r="Z100" s="203"/>
      <c r="AA100" s="203"/>
      <c r="AB100" s="203"/>
      <c r="AC100" s="203"/>
    </row>
    <row r="101" spans="1:29" ht="15">
      <c r="A101" s="203"/>
      <c r="B101" s="226">
        <v>35</v>
      </c>
      <c r="C101" s="440" t="str">
        <f>IF('INPUT DATA'!Q45="","",'INPUT DATA'!Q45)</f>
        <v/>
      </c>
      <c r="D101" s="441"/>
      <c r="E101" s="442"/>
      <c r="F101" s="438" t="str">
        <f>IF('INPUT DATA'!T45="","",'INPUT DATA'!T45)</f>
        <v/>
      </c>
      <c r="G101" s="439"/>
      <c r="H101" s="179" t="str">
        <f>IF('INPUT DATA'!S45="","",'INPUT DATA'!S45)</f>
        <v/>
      </c>
      <c r="I101" s="40" t="str">
        <f t="shared" ca="1" si="1"/>
        <v/>
      </c>
      <c r="J101" s="224"/>
      <c r="K101" s="94"/>
      <c r="L101" s="95"/>
      <c r="M101" s="95"/>
      <c r="N101" s="95"/>
      <c r="O101" s="95"/>
      <c r="P101" s="95"/>
      <c r="Q101" s="103"/>
      <c r="R101" s="96"/>
      <c r="S101" s="203"/>
      <c r="T101" s="203"/>
      <c r="U101" s="203"/>
      <c r="V101" s="203"/>
      <c r="W101" s="203"/>
      <c r="X101" s="203"/>
      <c r="Y101" s="203"/>
      <c r="Z101" s="203"/>
      <c r="AA101" s="203"/>
      <c r="AB101" s="203"/>
      <c r="AC101" s="203"/>
    </row>
    <row r="102" spans="1:29" ht="15">
      <c r="A102" s="203"/>
      <c r="B102" s="226">
        <v>36</v>
      </c>
      <c r="C102" s="440" t="str">
        <f>IF('INPUT DATA'!Q46="","",'INPUT DATA'!Q46)</f>
        <v/>
      </c>
      <c r="D102" s="441"/>
      <c r="E102" s="442"/>
      <c r="F102" s="438" t="str">
        <f>IF('INPUT DATA'!T46="","",'INPUT DATA'!T46)</f>
        <v/>
      </c>
      <c r="G102" s="439"/>
      <c r="H102" s="179" t="str">
        <f>IF('INPUT DATA'!S46="","",'INPUT DATA'!S46)</f>
        <v/>
      </c>
      <c r="I102" s="40" t="str">
        <f t="shared" ca="1" si="1"/>
        <v/>
      </c>
      <c r="J102" s="224"/>
      <c r="K102" s="94"/>
      <c r="L102" s="95"/>
      <c r="M102" s="95"/>
      <c r="N102" s="95"/>
      <c r="O102" s="95"/>
      <c r="P102" s="95"/>
      <c r="Q102" s="103"/>
      <c r="R102" s="96"/>
      <c r="S102" s="203"/>
      <c r="T102" s="203"/>
      <c r="U102" s="203"/>
      <c r="V102" s="203"/>
      <c r="W102" s="203"/>
      <c r="X102" s="203"/>
      <c r="Y102" s="203"/>
      <c r="Z102" s="203"/>
      <c r="AA102" s="203"/>
      <c r="AB102" s="203"/>
      <c r="AC102" s="203"/>
    </row>
    <row r="103" spans="1:29" ht="15">
      <c r="A103" s="203"/>
      <c r="B103" s="226">
        <v>37</v>
      </c>
      <c r="C103" s="440" t="str">
        <f>IF('INPUT DATA'!Q47="","",'INPUT DATA'!Q47)</f>
        <v/>
      </c>
      <c r="D103" s="441"/>
      <c r="E103" s="442"/>
      <c r="F103" s="438" t="str">
        <f>IF('INPUT DATA'!T47="","",'INPUT DATA'!T47)</f>
        <v/>
      </c>
      <c r="G103" s="439"/>
      <c r="H103" s="179" t="str">
        <f>IF('INPUT DATA'!S47="","",'INPUT DATA'!S47)</f>
        <v/>
      </c>
      <c r="I103" s="40" t="str">
        <f t="shared" ca="1" si="1"/>
        <v/>
      </c>
      <c r="J103" s="224"/>
      <c r="K103" s="94"/>
      <c r="L103" s="95"/>
      <c r="M103" s="95"/>
      <c r="N103" s="95"/>
      <c r="O103" s="95"/>
      <c r="P103" s="95"/>
      <c r="Q103" s="103"/>
      <c r="R103" s="96"/>
      <c r="S103" s="203"/>
      <c r="T103" s="203"/>
      <c r="U103" s="203"/>
      <c r="V103" s="203"/>
      <c r="W103" s="203"/>
      <c r="X103" s="203"/>
      <c r="Y103" s="203"/>
      <c r="Z103" s="203"/>
      <c r="AA103" s="203"/>
      <c r="AB103" s="203"/>
      <c r="AC103" s="203"/>
    </row>
    <row r="104" spans="1:29" ht="15">
      <c r="A104" s="203"/>
      <c r="B104" s="226">
        <v>38</v>
      </c>
      <c r="C104" s="440" t="str">
        <f>IF('INPUT DATA'!Q48="","",'INPUT DATA'!Q48)</f>
        <v/>
      </c>
      <c r="D104" s="441"/>
      <c r="E104" s="442"/>
      <c r="F104" s="438" t="str">
        <f>IF('INPUT DATA'!T48="","",'INPUT DATA'!T48)</f>
        <v/>
      </c>
      <c r="G104" s="439"/>
      <c r="H104" s="179" t="str">
        <f>IF('INPUT DATA'!S48="","",'INPUT DATA'!S48)</f>
        <v/>
      </c>
      <c r="I104" s="40" t="str">
        <f t="shared" ca="1" si="1"/>
        <v/>
      </c>
      <c r="J104" s="224"/>
      <c r="K104" s="94"/>
      <c r="L104" s="95"/>
      <c r="M104" s="95"/>
      <c r="N104" s="95"/>
      <c r="O104" s="95"/>
      <c r="P104" s="95"/>
      <c r="Q104" s="103"/>
      <c r="R104" s="96"/>
      <c r="S104" s="203"/>
      <c r="T104" s="203"/>
      <c r="U104" s="203"/>
      <c r="V104" s="203"/>
      <c r="W104" s="203"/>
      <c r="X104" s="203"/>
      <c r="Y104" s="203"/>
      <c r="Z104" s="203"/>
      <c r="AA104" s="203"/>
      <c r="AB104" s="203"/>
      <c r="AC104" s="203"/>
    </row>
    <row r="105" spans="1:29" ht="15">
      <c r="A105" s="203"/>
      <c r="B105" s="226">
        <v>39</v>
      </c>
      <c r="C105" s="440" t="str">
        <f>IF('INPUT DATA'!Q49="","",'INPUT DATA'!Q49)</f>
        <v/>
      </c>
      <c r="D105" s="441"/>
      <c r="E105" s="442"/>
      <c r="F105" s="438" t="str">
        <f>IF('INPUT DATA'!T49="","",'INPUT DATA'!T49)</f>
        <v/>
      </c>
      <c r="G105" s="439"/>
      <c r="H105" s="179" t="str">
        <f>IF('INPUT DATA'!S49="","",'INPUT DATA'!S49)</f>
        <v/>
      </c>
      <c r="I105" s="40" t="str">
        <f t="shared" ca="1" si="1"/>
        <v/>
      </c>
      <c r="J105" s="224"/>
      <c r="K105" s="94"/>
      <c r="L105" s="95"/>
      <c r="M105" s="95"/>
      <c r="N105" s="95"/>
      <c r="O105" s="95"/>
      <c r="P105" s="95"/>
      <c r="Q105" s="103"/>
      <c r="R105" s="96"/>
      <c r="S105" s="203"/>
      <c r="T105" s="203"/>
      <c r="U105" s="203"/>
      <c r="V105" s="203"/>
      <c r="W105" s="203"/>
      <c r="X105" s="203"/>
      <c r="Y105" s="203"/>
      <c r="Z105" s="203"/>
      <c r="AA105" s="203"/>
      <c r="AB105" s="203"/>
      <c r="AC105" s="203"/>
    </row>
    <row r="106" spans="1:29" ht="15">
      <c r="A106" s="203"/>
      <c r="B106" s="226">
        <v>40</v>
      </c>
      <c r="C106" s="440" t="str">
        <f>IF('INPUT DATA'!Q50="","",'INPUT DATA'!Q50)</f>
        <v/>
      </c>
      <c r="D106" s="441"/>
      <c r="E106" s="442"/>
      <c r="F106" s="438" t="str">
        <f>IF('INPUT DATA'!T50="","",'INPUT DATA'!T50)</f>
        <v/>
      </c>
      <c r="G106" s="439"/>
      <c r="H106" s="179" t="str">
        <f>IF('INPUT DATA'!S50="","",'INPUT DATA'!S50)</f>
        <v/>
      </c>
      <c r="I106" s="40" t="str">
        <f t="shared" ca="1" si="1"/>
        <v/>
      </c>
      <c r="J106" s="224"/>
      <c r="K106" s="94"/>
      <c r="L106" s="95"/>
      <c r="M106" s="95"/>
      <c r="N106" s="95"/>
      <c r="O106" s="95"/>
      <c r="P106" s="95"/>
      <c r="Q106" s="103"/>
      <c r="R106" s="96"/>
      <c r="S106" s="203"/>
      <c r="T106" s="203"/>
      <c r="U106" s="203"/>
      <c r="V106" s="203"/>
      <c r="W106" s="203"/>
      <c r="X106" s="203"/>
      <c r="Y106" s="203"/>
      <c r="Z106" s="203"/>
      <c r="AA106" s="203"/>
      <c r="AB106" s="203"/>
      <c r="AC106" s="203"/>
    </row>
    <row r="107" spans="1:29" ht="15">
      <c r="A107" s="203"/>
      <c r="B107" s="226">
        <v>41</v>
      </c>
      <c r="C107" s="440" t="str">
        <f>IF('INPUT DATA'!Q51="","",'INPUT DATA'!Q51)</f>
        <v/>
      </c>
      <c r="D107" s="441"/>
      <c r="E107" s="442"/>
      <c r="F107" s="438" t="str">
        <f>IF('INPUT DATA'!T51="","",'INPUT DATA'!T51)</f>
        <v/>
      </c>
      <c r="G107" s="439"/>
      <c r="H107" s="179" t="str">
        <f>IF('INPUT DATA'!S51="","",'INPUT DATA'!S51)</f>
        <v/>
      </c>
      <c r="I107" s="40" t="str">
        <f t="shared" ca="1" si="1"/>
        <v/>
      </c>
      <c r="J107" s="224"/>
      <c r="K107" s="94"/>
      <c r="L107" s="95"/>
      <c r="M107" s="95"/>
      <c r="N107" s="95"/>
      <c r="O107" s="95"/>
      <c r="P107" s="95"/>
      <c r="Q107" s="103"/>
      <c r="R107" s="96"/>
      <c r="S107" s="203"/>
      <c r="T107" s="203"/>
      <c r="U107" s="203"/>
      <c r="V107" s="203"/>
      <c r="W107" s="203"/>
      <c r="X107" s="203"/>
      <c r="Y107" s="203"/>
      <c r="Z107" s="203"/>
      <c r="AA107" s="203"/>
      <c r="AB107" s="203"/>
      <c r="AC107" s="203"/>
    </row>
    <row r="108" spans="1:29" ht="15">
      <c r="A108" s="203"/>
      <c r="B108" s="226">
        <v>42</v>
      </c>
      <c r="C108" s="440" t="str">
        <f>IF('INPUT DATA'!Q52="","",'INPUT DATA'!Q52)</f>
        <v/>
      </c>
      <c r="D108" s="441"/>
      <c r="E108" s="442"/>
      <c r="F108" s="438" t="str">
        <f>IF('INPUT DATA'!T52="","",'INPUT DATA'!T52)</f>
        <v/>
      </c>
      <c r="G108" s="439"/>
      <c r="H108" s="179" t="str">
        <f>IF('INPUT DATA'!S52="","",'INPUT DATA'!S52)</f>
        <v/>
      </c>
      <c r="I108" s="40" t="str">
        <f t="shared" ca="1" si="1"/>
        <v/>
      </c>
      <c r="J108" s="224"/>
      <c r="K108" s="94"/>
      <c r="L108" s="95"/>
      <c r="M108" s="95"/>
      <c r="N108" s="95"/>
      <c r="O108" s="95"/>
      <c r="P108" s="95"/>
      <c r="Q108" s="103"/>
      <c r="R108" s="96"/>
      <c r="S108" s="203"/>
      <c r="T108" s="203"/>
      <c r="U108" s="203"/>
      <c r="V108" s="203"/>
      <c r="W108" s="203"/>
      <c r="X108" s="203"/>
      <c r="Y108" s="203"/>
      <c r="Z108" s="203"/>
      <c r="AA108" s="203"/>
      <c r="AB108" s="203"/>
      <c r="AC108" s="203"/>
    </row>
    <row r="109" spans="1:29" ht="15">
      <c r="A109" s="203"/>
      <c r="B109" s="226">
        <v>43</v>
      </c>
      <c r="C109" s="440" t="str">
        <f>IF('INPUT DATA'!Q53="","",'INPUT DATA'!Q53)</f>
        <v/>
      </c>
      <c r="D109" s="441"/>
      <c r="E109" s="442"/>
      <c r="F109" s="438" t="str">
        <f>IF('INPUT DATA'!T53="","",'INPUT DATA'!T53)</f>
        <v/>
      </c>
      <c r="G109" s="439"/>
      <c r="H109" s="179" t="str">
        <f>IF('INPUT DATA'!S53="","",'INPUT DATA'!S53)</f>
        <v/>
      </c>
      <c r="I109" s="40" t="str">
        <f t="shared" ca="1" si="1"/>
        <v/>
      </c>
      <c r="J109" s="224"/>
      <c r="K109" s="94"/>
      <c r="L109" s="95"/>
      <c r="M109" s="95"/>
      <c r="N109" s="95"/>
      <c r="O109" s="95"/>
      <c r="P109" s="95"/>
      <c r="Q109" s="103"/>
      <c r="R109" s="96"/>
      <c r="S109" s="203"/>
      <c r="T109" s="203"/>
      <c r="U109" s="203"/>
      <c r="V109" s="203"/>
      <c r="W109" s="203"/>
      <c r="X109" s="203"/>
      <c r="Y109" s="203"/>
      <c r="Z109" s="203"/>
      <c r="AA109" s="203"/>
      <c r="AB109" s="203"/>
      <c r="AC109" s="203"/>
    </row>
    <row r="110" spans="1:29" ht="15">
      <c r="A110" s="203"/>
      <c r="B110" s="226">
        <v>44</v>
      </c>
      <c r="C110" s="440" t="str">
        <f>IF('INPUT DATA'!Q54="","",'INPUT DATA'!Q54)</f>
        <v/>
      </c>
      <c r="D110" s="441"/>
      <c r="E110" s="442"/>
      <c r="F110" s="438" t="str">
        <f>IF('INPUT DATA'!T54="","",'INPUT DATA'!T54)</f>
        <v/>
      </c>
      <c r="G110" s="439"/>
      <c r="H110" s="179" t="str">
        <f>IF('INPUT DATA'!S54="","",'INPUT DATA'!S54)</f>
        <v/>
      </c>
      <c r="I110" s="40" t="str">
        <f t="shared" ca="1" si="1"/>
        <v/>
      </c>
      <c r="J110" s="224"/>
      <c r="K110" s="94"/>
      <c r="L110" s="95"/>
      <c r="M110" s="95"/>
      <c r="N110" s="95"/>
      <c r="O110" s="95"/>
      <c r="P110" s="95"/>
      <c r="Q110" s="103"/>
      <c r="R110" s="96"/>
      <c r="S110" s="203"/>
      <c r="T110" s="203"/>
      <c r="U110" s="203"/>
      <c r="V110" s="203"/>
      <c r="W110" s="203"/>
      <c r="X110" s="203"/>
      <c r="Y110" s="203"/>
      <c r="Z110" s="203"/>
      <c r="AA110" s="203"/>
      <c r="AB110" s="203"/>
      <c r="AC110" s="203"/>
    </row>
    <row r="111" spans="1:29" ht="15">
      <c r="A111" s="203"/>
      <c r="B111" s="226">
        <v>45</v>
      </c>
      <c r="C111" s="440" t="str">
        <f>IF('INPUT DATA'!Q55="","",'INPUT DATA'!Q55)</f>
        <v/>
      </c>
      <c r="D111" s="441"/>
      <c r="E111" s="442"/>
      <c r="F111" s="438" t="str">
        <f>IF('INPUT DATA'!T55="","",'INPUT DATA'!T55)</f>
        <v/>
      </c>
      <c r="G111" s="439"/>
      <c r="H111" s="179" t="str">
        <f>IF('INPUT DATA'!S55="","",'INPUT DATA'!S55)</f>
        <v/>
      </c>
      <c r="I111" s="40" t="str">
        <f t="shared" ca="1" si="1"/>
        <v/>
      </c>
      <c r="J111" s="224"/>
      <c r="K111" s="97"/>
      <c r="L111" s="98"/>
      <c r="M111" s="98"/>
      <c r="N111" s="98"/>
      <c r="O111" s="98"/>
      <c r="P111" s="98"/>
      <c r="Q111" s="104"/>
      <c r="R111" s="99"/>
      <c r="S111" s="203"/>
      <c r="T111" s="203"/>
      <c r="U111" s="203"/>
      <c r="V111" s="203"/>
      <c r="W111" s="203"/>
      <c r="X111" s="203"/>
      <c r="Y111" s="203"/>
      <c r="Z111" s="203"/>
      <c r="AA111" s="203"/>
      <c r="AB111" s="203"/>
      <c r="AC111" s="203"/>
    </row>
    <row r="112" spans="1:29" ht="15">
      <c r="A112" s="203"/>
      <c r="B112" s="226">
        <v>46</v>
      </c>
      <c r="C112" s="440" t="str">
        <f>IF('INPUT DATA'!Q56="","",'INPUT DATA'!Q56)</f>
        <v/>
      </c>
      <c r="D112" s="441"/>
      <c r="E112" s="442"/>
      <c r="F112" s="438" t="str">
        <f>IF('INPUT DATA'!T56="","",'INPUT DATA'!T56)</f>
        <v/>
      </c>
      <c r="G112" s="439"/>
      <c r="H112" s="179" t="str">
        <f>IF('INPUT DATA'!S56="","",'INPUT DATA'!S56)</f>
        <v/>
      </c>
      <c r="I112" s="40" t="str">
        <f t="shared" ca="1" si="1"/>
        <v/>
      </c>
      <c r="J112" s="224"/>
      <c r="K112" s="94"/>
      <c r="L112" s="95"/>
      <c r="M112" s="95"/>
      <c r="N112" s="95"/>
      <c r="O112" s="95"/>
      <c r="P112" s="95"/>
      <c r="Q112" s="103"/>
      <c r="R112" s="96"/>
      <c r="S112" s="203"/>
      <c r="T112" s="203"/>
      <c r="U112" s="203"/>
      <c r="V112" s="203"/>
      <c r="W112" s="203"/>
      <c r="X112" s="203"/>
      <c r="Y112" s="203"/>
      <c r="Z112" s="203"/>
      <c r="AA112" s="203"/>
      <c r="AB112" s="203"/>
      <c r="AC112" s="203"/>
    </row>
    <row r="113" spans="1:29" ht="15">
      <c r="A113" s="203"/>
      <c r="B113" s="226">
        <v>47</v>
      </c>
      <c r="C113" s="440" t="str">
        <f>IF('INPUT DATA'!Q57="","",'INPUT DATA'!Q57)</f>
        <v/>
      </c>
      <c r="D113" s="441"/>
      <c r="E113" s="442"/>
      <c r="F113" s="438" t="str">
        <f>IF('INPUT DATA'!T57="","",'INPUT DATA'!T57)</f>
        <v/>
      </c>
      <c r="G113" s="439"/>
      <c r="H113" s="179" t="str">
        <f>IF('INPUT DATA'!S57="","",'INPUT DATA'!S57)</f>
        <v/>
      </c>
      <c r="I113" s="40" t="str">
        <f t="shared" ca="1" si="1"/>
        <v/>
      </c>
      <c r="J113" s="224"/>
      <c r="K113" s="94"/>
      <c r="L113" s="95"/>
      <c r="M113" s="95"/>
      <c r="N113" s="95"/>
      <c r="O113" s="95"/>
      <c r="P113" s="95"/>
      <c r="Q113" s="103"/>
      <c r="R113" s="96"/>
      <c r="S113" s="203"/>
      <c r="T113" s="203"/>
      <c r="U113" s="203"/>
      <c r="V113" s="203"/>
      <c r="W113" s="203"/>
      <c r="X113" s="203"/>
      <c r="Y113" s="203"/>
      <c r="Z113" s="203"/>
      <c r="AA113" s="203"/>
      <c r="AB113" s="203"/>
      <c r="AC113" s="203"/>
    </row>
    <row r="114" spans="1:29" ht="15">
      <c r="A114" s="203"/>
      <c r="B114" s="226">
        <v>48</v>
      </c>
      <c r="C114" s="440" t="str">
        <f>IF('INPUT DATA'!Q58="","",'INPUT DATA'!Q58)</f>
        <v/>
      </c>
      <c r="D114" s="441"/>
      <c r="E114" s="442"/>
      <c r="F114" s="438" t="str">
        <f>IF('INPUT DATA'!T58="","",'INPUT DATA'!T58)</f>
        <v/>
      </c>
      <c r="G114" s="439"/>
      <c r="H114" s="179" t="str">
        <f>IF('INPUT DATA'!S58="","",'INPUT DATA'!S58)</f>
        <v/>
      </c>
      <c r="I114" s="40" t="str">
        <f t="shared" ca="1" si="1"/>
        <v/>
      </c>
      <c r="J114" s="224"/>
      <c r="K114" s="94"/>
      <c r="L114" s="95"/>
      <c r="M114" s="95"/>
      <c r="N114" s="95"/>
      <c r="O114" s="95"/>
      <c r="P114" s="95"/>
      <c r="Q114" s="103"/>
      <c r="R114" s="96"/>
      <c r="S114" s="203"/>
      <c r="T114" s="203"/>
      <c r="U114" s="203"/>
      <c r="V114" s="203"/>
      <c r="W114" s="203"/>
      <c r="X114" s="203"/>
      <c r="Y114" s="203"/>
      <c r="Z114" s="203"/>
      <c r="AA114" s="203"/>
      <c r="AB114" s="203"/>
      <c r="AC114" s="203"/>
    </row>
    <row r="115" spans="1:29" ht="15">
      <c r="A115" s="203"/>
      <c r="B115" s="226">
        <v>49</v>
      </c>
      <c r="C115" s="440" t="str">
        <f>IF('INPUT DATA'!Q59="","",'INPUT DATA'!Q59)</f>
        <v/>
      </c>
      <c r="D115" s="441"/>
      <c r="E115" s="442"/>
      <c r="F115" s="438" t="str">
        <f>IF('INPUT DATA'!T59="","",'INPUT DATA'!T59)</f>
        <v/>
      </c>
      <c r="G115" s="439"/>
      <c r="H115" s="179" t="str">
        <f>IF('INPUT DATA'!S59="","",'INPUT DATA'!S59)</f>
        <v/>
      </c>
      <c r="I115" s="40" t="str">
        <f t="shared" ca="1" si="1"/>
        <v/>
      </c>
      <c r="J115" s="224"/>
      <c r="K115" s="94"/>
      <c r="L115" s="95"/>
      <c r="M115" s="95"/>
      <c r="N115" s="95"/>
      <c r="O115" s="95"/>
      <c r="P115" s="95"/>
      <c r="Q115" s="103"/>
      <c r="R115" s="96"/>
      <c r="S115" s="203"/>
      <c r="T115" s="203"/>
      <c r="U115" s="203"/>
      <c r="V115" s="203"/>
      <c r="W115" s="203"/>
      <c r="X115" s="203"/>
      <c r="Y115" s="203"/>
      <c r="Z115" s="203"/>
      <c r="AA115" s="203"/>
      <c r="AB115" s="203"/>
      <c r="AC115" s="203"/>
    </row>
    <row r="116" spans="1:29" ht="15.6" thickBot="1">
      <c r="A116" s="203"/>
      <c r="B116" s="237">
        <v>50</v>
      </c>
      <c r="C116" s="448" t="str">
        <f>IF('INPUT DATA'!Q60="","",'INPUT DATA'!Q60)</f>
        <v/>
      </c>
      <c r="D116" s="449"/>
      <c r="E116" s="450"/>
      <c r="F116" s="451" t="str">
        <f>IF('INPUT DATA'!T60="","",'INPUT DATA'!T60)</f>
        <v/>
      </c>
      <c r="G116" s="452"/>
      <c r="H116" s="180" t="str">
        <f>IF('INPUT DATA'!S60="","",'INPUT DATA'!S60)</f>
        <v/>
      </c>
      <c r="I116" s="40" t="str">
        <f t="shared" ca="1" si="1"/>
        <v/>
      </c>
      <c r="J116" s="228"/>
      <c r="K116" s="105"/>
      <c r="L116" s="106"/>
      <c r="M116" s="106"/>
      <c r="N116" s="106"/>
      <c r="O116" s="106"/>
      <c r="P116" s="106"/>
      <c r="Q116" s="107"/>
      <c r="R116" s="108"/>
      <c r="S116" s="203"/>
      <c r="T116" s="203"/>
      <c r="U116" s="203"/>
      <c r="V116" s="203"/>
      <c r="W116" s="203"/>
      <c r="X116" s="203"/>
      <c r="Y116" s="203"/>
      <c r="Z116" s="203"/>
      <c r="AA116" s="203"/>
      <c r="AB116" s="203"/>
      <c r="AC116" s="203"/>
    </row>
    <row r="117" spans="1:29" ht="13.2">
      <c r="A117" s="202"/>
      <c r="B117" s="202"/>
      <c r="C117" s="201"/>
      <c r="D117" s="202"/>
      <c r="E117" s="202"/>
      <c r="F117" s="202"/>
      <c r="G117" s="202"/>
      <c r="H117" s="202"/>
      <c r="I117" s="202"/>
      <c r="J117" s="202"/>
      <c r="K117" s="202"/>
      <c r="L117" s="202"/>
      <c r="M117" s="202"/>
      <c r="N117" s="202"/>
      <c r="O117" s="202"/>
      <c r="P117" s="202"/>
      <c r="Q117" s="202"/>
      <c r="R117" s="202"/>
      <c r="S117" s="202"/>
      <c r="T117" s="202"/>
      <c r="U117" s="202"/>
      <c r="V117" s="202"/>
      <c r="W117" s="202"/>
      <c r="X117" s="202"/>
      <c r="Y117" s="202"/>
      <c r="Z117" s="202"/>
      <c r="AA117" s="202"/>
      <c r="AB117" s="202"/>
      <c r="AC117" s="202"/>
    </row>
    <row r="118" spans="1:29" ht="13.2">
      <c r="A118" s="202"/>
      <c r="B118" s="202"/>
      <c r="C118" s="201"/>
      <c r="D118" s="202"/>
      <c r="E118" s="202"/>
      <c r="F118" s="202"/>
      <c r="G118" s="202"/>
      <c r="H118" s="202"/>
      <c r="I118" s="202"/>
      <c r="J118" s="202"/>
      <c r="K118" s="202"/>
      <c r="L118" s="202"/>
      <c r="M118" s="202"/>
      <c r="N118" s="202"/>
      <c r="O118" s="202"/>
      <c r="P118" s="202"/>
      <c r="Q118" s="202"/>
      <c r="R118" s="202"/>
      <c r="S118" s="202"/>
      <c r="T118" s="202"/>
      <c r="U118" s="202"/>
      <c r="V118" s="202"/>
      <c r="W118" s="202"/>
      <c r="X118" s="202"/>
      <c r="Y118" s="202"/>
      <c r="Z118" s="202"/>
      <c r="AA118" s="202"/>
      <c r="AB118" s="202"/>
      <c r="AC118" s="202"/>
    </row>
    <row r="119" spans="1:29" ht="13.2">
      <c r="A119" s="202"/>
      <c r="B119" s="202"/>
      <c r="C119" s="201"/>
      <c r="D119" s="202"/>
      <c r="E119" s="202"/>
      <c r="F119" s="202"/>
      <c r="G119" s="202"/>
      <c r="H119" s="202"/>
      <c r="I119" s="202"/>
      <c r="J119" s="202"/>
      <c r="K119" s="202"/>
      <c r="L119" s="202"/>
      <c r="M119" s="202"/>
      <c r="N119" s="202"/>
      <c r="O119" s="202"/>
      <c r="P119" s="202"/>
      <c r="Q119" s="202"/>
      <c r="R119" s="202"/>
      <c r="S119" s="202"/>
      <c r="T119" s="202"/>
      <c r="U119" s="202"/>
      <c r="V119" s="202"/>
      <c r="W119" s="202"/>
      <c r="X119" s="202"/>
      <c r="Y119" s="202"/>
      <c r="Z119" s="202"/>
      <c r="AA119" s="202"/>
      <c r="AB119" s="202"/>
      <c r="AC119" s="202"/>
    </row>
    <row r="120" spans="1:29" ht="13.2">
      <c r="A120" s="202"/>
      <c r="B120" s="202"/>
      <c r="C120" s="201"/>
      <c r="D120" s="202"/>
      <c r="E120" s="202"/>
      <c r="F120" s="202"/>
      <c r="G120" s="202"/>
      <c r="H120" s="202"/>
      <c r="I120" s="202"/>
      <c r="J120" s="202"/>
      <c r="K120" s="202"/>
      <c r="L120" s="202"/>
      <c r="M120" s="202"/>
      <c r="N120" s="202"/>
      <c r="O120" s="202"/>
      <c r="P120" s="202"/>
      <c r="Q120" s="202"/>
      <c r="R120" s="202"/>
      <c r="S120" s="202"/>
      <c r="T120" s="202"/>
      <c r="U120" s="202"/>
      <c r="V120" s="202"/>
      <c r="W120" s="202"/>
      <c r="X120" s="202"/>
      <c r="Y120" s="202"/>
      <c r="Z120" s="202"/>
      <c r="AA120" s="202"/>
      <c r="AB120" s="202"/>
      <c r="AC120" s="202"/>
    </row>
    <row r="121" spans="1:29" ht="13.2">
      <c r="A121" s="202"/>
      <c r="B121" s="202"/>
      <c r="C121" s="201"/>
      <c r="D121" s="202"/>
      <c r="E121" s="202"/>
      <c r="F121" s="202"/>
      <c r="G121" s="202"/>
      <c r="H121" s="202"/>
      <c r="I121" s="202"/>
      <c r="J121" s="202"/>
      <c r="K121" s="202"/>
      <c r="L121" s="202"/>
      <c r="M121" s="202"/>
      <c r="N121" s="202"/>
      <c r="O121" s="202"/>
      <c r="P121" s="202"/>
      <c r="Q121" s="202"/>
      <c r="R121" s="202"/>
      <c r="S121" s="202"/>
      <c r="T121" s="202"/>
      <c r="U121" s="202"/>
      <c r="V121" s="202"/>
      <c r="W121" s="202"/>
      <c r="X121" s="202"/>
      <c r="Y121" s="202"/>
      <c r="Z121" s="202"/>
      <c r="AA121" s="202"/>
      <c r="AB121" s="202"/>
      <c r="AC121" s="202"/>
    </row>
    <row r="122" spans="1:29" ht="13.2">
      <c r="A122" s="202"/>
      <c r="B122" s="202"/>
      <c r="C122" s="201"/>
      <c r="D122" s="202"/>
      <c r="E122" s="202"/>
      <c r="F122" s="202"/>
      <c r="G122" s="202"/>
      <c r="H122" s="202"/>
      <c r="I122" s="202"/>
      <c r="J122" s="202"/>
      <c r="K122" s="202"/>
      <c r="L122" s="202"/>
      <c r="M122" s="202"/>
      <c r="N122" s="202"/>
      <c r="O122" s="202"/>
      <c r="P122" s="202"/>
      <c r="Q122" s="202"/>
      <c r="R122" s="202"/>
      <c r="S122" s="202"/>
      <c r="T122" s="202"/>
      <c r="U122" s="202"/>
      <c r="V122" s="202"/>
      <c r="W122" s="202"/>
      <c r="X122" s="202"/>
      <c r="Y122" s="202"/>
      <c r="Z122" s="202"/>
      <c r="AA122" s="202"/>
      <c r="AB122" s="202"/>
      <c r="AC122" s="202"/>
    </row>
    <row r="123" spans="1:29" ht="13.2">
      <c r="A123" s="202"/>
      <c r="B123" s="202"/>
      <c r="C123" s="201"/>
      <c r="D123" s="202"/>
      <c r="E123" s="202"/>
      <c r="F123" s="202"/>
      <c r="G123" s="202"/>
      <c r="H123" s="202"/>
      <c r="I123" s="202"/>
      <c r="J123" s="202"/>
      <c r="K123" s="202"/>
      <c r="L123" s="202"/>
      <c r="M123" s="202"/>
      <c r="N123" s="202"/>
      <c r="O123" s="202"/>
      <c r="P123" s="202"/>
      <c r="Q123" s="202"/>
      <c r="R123" s="202"/>
      <c r="S123" s="202"/>
      <c r="T123" s="202"/>
      <c r="U123" s="202"/>
      <c r="V123" s="202"/>
      <c r="W123" s="202"/>
      <c r="X123" s="202"/>
      <c r="Y123" s="202"/>
      <c r="Z123" s="202"/>
      <c r="AA123" s="202"/>
      <c r="AB123" s="202"/>
      <c r="AC123" s="202"/>
    </row>
    <row r="124" spans="1:29" ht="13.2">
      <c r="A124" s="202"/>
      <c r="B124" s="202"/>
      <c r="C124" s="201"/>
      <c r="D124" s="202"/>
      <c r="E124" s="202"/>
      <c r="F124" s="202"/>
      <c r="G124" s="202"/>
      <c r="H124" s="202"/>
      <c r="I124" s="202"/>
      <c r="J124" s="202"/>
      <c r="K124" s="202"/>
      <c r="L124" s="202"/>
      <c r="M124" s="202"/>
      <c r="N124" s="202"/>
      <c r="O124" s="202"/>
      <c r="P124" s="202"/>
      <c r="Q124" s="202"/>
      <c r="R124" s="202"/>
      <c r="S124" s="202"/>
      <c r="T124" s="202"/>
      <c r="U124" s="202"/>
      <c r="V124" s="202"/>
      <c r="W124" s="202"/>
      <c r="X124" s="202"/>
      <c r="Y124" s="202"/>
      <c r="Z124" s="202"/>
      <c r="AA124" s="202"/>
      <c r="AB124" s="202"/>
      <c r="AC124" s="202"/>
    </row>
    <row r="125" spans="1:29" ht="13.2">
      <c r="A125" s="202"/>
      <c r="B125" s="202"/>
      <c r="C125" s="201"/>
      <c r="D125" s="202"/>
      <c r="E125" s="202"/>
      <c r="F125" s="202"/>
      <c r="G125" s="202"/>
      <c r="H125" s="202"/>
      <c r="I125" s="202"/>
      <c r="J125" s="202"/>
      <c r="K125" s="202"/>
      <c r="L125" s="202"/>
      <c r="M125" s="202"/>
      <c r="N125" s="202"/>
      <c r="O125" s="202"/>
      <c r="P125" s="202"/>
      <c r="Q125" s="202"/>
      <c r="R125" s="202"/>
      <c r="S125" s="202"/>
      <c r="T125" s="202"/>
      <c r="U125" s="202"/>
      <c r="V125" s="202"/>
      <c r="W125" s="202"/>
      <c r="X125" s="202"/>
      <c r="Y125" s="202"/>
      <c r="Z125" s="202"/>
      <c r="AA125" s="202"/>
      <c r="AB125" s="202"/>
      <c r="AC125" s="202"/>
    </row>
    <row r="126" spans="1:29" ht="13.2">
      <c r="A126" s="202"/>
      <c r="B126" s="202"/>
      <c r="C126" s="201"/>
      <c r="D126" s="202"/>
      <c r="E126" s="202"/>
      <c r="F126" s="202"/>
      <c r="G126" s="202"/>
      <c r="H126" s="202"/>
      <c r="I126" s="202"/>
      <c r="J126" s="202"/>
      <c r="K126" s="202"/>
      <c r="L126" s="202"/>
      <c r="M126" s="202"/>
      <c r="N126" s="202"/>
      <c r="O126" s="202"/>
      <c r="P126" s="202"/>
      <c r="Q126" s="202"/>
      <c r="R126" s="202"/>
      <c r="S126" s="202"/>
      <c r="T126" s="202"/>
      <c r="U126" s="202"/>
      <c r="V126" s="202"/>
      <c r="W126" s="202"/>
      <c r="X126" s="202"/>
      <c r="Y126" s="202"/>
      <c r="Z126" s="202"/>
      <c r="AA126" s="202"/>
      <c r="AB126" s="202"/>
      <c r="AC126" s="202"/>
    </row>
    <row r="127" spans="1:29" ht="13.2">
      <c r="A127" s="202"/>
      <c r="B127" s="202"/>
      <c r="C127" s="201"/>
      <c r="D127" s="202"/>
      <c r="E127" s="202"/>
      <c r="F127" s="202"/>
      <c r="G127" s="202"/>
      <c r="H127" s="202"/>
      <c r="I127" s="202"/>
      <c r="J127" s="202"/>
      <c r="K127" s="202"/>
      <c r="L127" s="202"/>
      <c r="M127" s="202"/>
      <c r="N127" s="202"/>
      <c r="O127" s="202"/>
      <c r="P127" s="202"/>
      <c r="Q127" s="202"/>
      <c r="R127" s="202"/>
      <c r="S127" s="202"/>
      <c r="T127" s="202"/>
      <c r="U127" s="202"/>
      <c r="V127" s="202"/>
      <c r="W127" s="202"/>
      <c r="X127" s="202"/>
      <c r="Y127" s="202"/>
      <c r="Z127" s="202"/>
      <c r="AA127" s="202"/>
      <c r="AB127" s="202"/>
      <c r="AC127" s="202"/>
    </row>
  </sheetData>
  <sheetProtection algorithmName="SHA-512" hashValue="Zk1+Q3rBlIP23TosgV2LOEjqShrQro8/wvaboMXhkuBFe2RTyxKhx8ToG8g2XgWLITf7WVjRsV7C3HGlrTTstg==" saltValue="+TG7qAnF1ZozeVgUVVUByw==" spinCount="100000" sheet="1" objects="1" scenarios="1" formatCells="0" formatColumns="0" formatRows="0"/>
  <mergeCells count="229">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15:E115"/>
    <mergeCell ref="F115:G115"/>
    <mergeCell ref="C116:E116"/>
    <mergeCell ref="F116:G116"/>
    <mergeCell ref="C112:E112"/>
    <mergeCell ref="F112:G112"/>
    <mergeCell ref="C113:E113"/>
    <mergeCell ref="F113:G113"/>
    <mergeCell ref="C114:E114"/>
    <mergeCell ref="F114:G114"/>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C65:E65"/>
    <mergeCell ref="F65:G65"/>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9:E19"/>
    <mergeCell ref="F19:G19"/>
    <mergeCell ref="B8:R8"/>
    <mergeCell ref="B9:E10"/>
    <mergeCell ref="G9:K9"/>
    <mergeCell ref="G10:K10"/>
    <mergeCell ref="C20:E20"/>
    <mergeCell ref="F20:G20"/>
    <mergeCell ref="B15:R15"/>
    <mergeCell ref="C16:E16"/>
    <mergeCell ref="F16:G16"/>
    <mergeCell ref="C17:E17"/>
    <mergeCell ref="F17:G17"/>
    <mergeCell ref="I11:I14"/>
    <mergeCell ref="J11:J14"/>
    <mergeCell ref="K11:R11"/>
    <mergeCell ref="K12:Q12"/>
    <mergeCell ref="L10:N10"/>
    <mergeCell ref="N13:N14"/>
    <mergeCell ref="O6:P6"/>
    <mergeCell ref="J6:L6"/>
    <mergeCell ref="J5:M5"/>
    <mergeCell ref="A1:S4"/>
    <mergeCell ref="E5:G5"/>
    <mergeCell ref="E6:G6"/>
    <mergeCell ref="C18:E18"/>
    <mergeCell ref="F18:G18"/>
    <mergeCell ref="L9:N9"/>
    <mergeCell ref="O10:R10"/>
    <mergeCell ref="O9:R9"/>
    <mergeCell ref="O13:O14"/>
    <mergeCell ref="P13:P14"/>
    <mergeCell ref="Q13:Q14"/>
    <mergeCell ref="R13:R14"/>
    <mergeCell ref="K13:M13"/>
    <mergeCell ref="B11:E14"/>
    <mergeCell ref="F11:G14"/>
    <mergeCell ref="H11:H14"/>
    <mergeCell ref="M6:N6"/>
  </mergeCells>
  <dataValidations count="1">
    <dataValidation type="list" allowBlank="1" showInputMessage="1" showErrorMessage="1" sqref="J16:J65 J67:J116"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155F-1E42-4811-B1DD-02CECD66A0C0}">
  <sheetPr>
    <tabColor theme="8"/>
    <outlinePr summaryBelow="0" summaryRight="0"/>
    <pageSetUpPr fitToPage="1"/>
  </sheetPr>
  <dimension ref="A1:AC127"/>
  <sheetViews>
    <sheetView showGridLines="0" zoomScale="85" zoomScaleNormal="85" workbookViewId="0">
      <selection sqref="A1:S4"/>
    </sheetView>
  </sheetViews>
  <sheetFormatPr defaultColWidth="12.6640625" defaultRowHeight="15.75" customHeight="1"/>
  <cols>
    <col min="1" max="2" width="3.88671875" style="192" customWidth="1"/>
    <col min="3" max="3" width="13.109375" style="192" customWidth="1"/>
    <col min="4" max="5" width="12.6640625" style="192"/>
    <col min="6" max="6" width="16.21875" style="192" customWidth="1"/>
    <col min="7" max="7" width="19.44140625" style="192" customWidth="1"/>
    <col min="8" max="8" width="12.6640625" style="192"/>
    <col min="9" max="10" width="5.109375" style="192" customWidth="1"/>
    <col min="11" max="11" width="13.88671875" style="192" customWidth="1"/>
    <col min="12" max="13" width="13.77734375" style="192" customWidth="1"/>
    <col min="14" max="14" width="12.77734375" style="192" customWidth="1"/>
    <col min="15" max="15" width="11.33203125" style="192" customWidth="1"/>
    <col min="16" max="16" width="13.44140625" style="192" customWidth="1"/>
    <col min="17" max="18" width="9.44140625" style="192" customWidth="1"/>
    <col min="19" max="19" width="3.88671875" style="192" customWidth="1"/>
    <col min="20" max="16384" width="12.6640625" style="192"/>
  </cols>
  <sheetData>
    <row r="1" spans="1:29" ht="13.2">
      <c r="A1" s="365" t="s">
        <v>114</v>
      </c>
      <c r="B1" s="244"/>
      <c r="C1" s="244"/>
      <c r="D1" s="244"/>
      <c r="E1" s="244"/>
      <c r="F1" s="244"/>
      <c r="G1" s="244"/>
      <c r="H1" s="244"/>
      <c r="I1" s="244"/>
      <c r="J1" s="244"/>
      <c r="K1" s="244"/>
      <c r="L1" s="244"/>
      <c r="M1" s="244"/>
      <c r="N1" s="244"/>
      <c r="O1" s="244"/>
      <c r="P1" s="244"/>
      <c r="Q1" s="244"/>
      <c r="R1" s="244"/>
      <c r="S1" s="244"/>
      <c r="T1" s="201"/>
      <c r="U1" s="201"/>
      <c r="V1" s="201"/>
      <c r="W1" s="201"/>
      <c r="X1" s="201"/>
      <c r="Y1" s="201"/>
      <c r="Z1" s="201"/>
      <c r="AA1" s="201"/>
      <c r="AB1" s="201"/>
      <c r="AC1" s="201"/>
    </row>
    <row r="2" spans="1:29" ht="13.2">
      <c r="A2" s="244"/>
      <c r="B2" s="244"/>
      <c r="C2" s="244"/>
      <c r="D2" s="244"/>
      <c r="E2" s="244"/>
      <c r="F2" s="244"/>
      <c r="G2" s="244"/>
      <c r="H2" s="244"/>
      <c r="I2" s="244"/>
      <c r="J2" s="244"/>
      <c r="K2" s="244"/>
      <c r="L2" s="244"/>
      <c r="M2" s="244"/>
      <c r="N2" s="244"/>
      <c r="O2" s="244"/>
      <c r="P2" s="244"/>
      <c r="Q2" s="244"/>
      <c r="R2" s="244"/>
      <c r="S2" s="244"/>
      <c r="T2" s="201"/>
      <c r="U2" s="201"/>
      <c r="V2" s="201"/>
      <c r="W2" s="201"/>
      <c r="X2" s="201"/>
      <c r="Y2" s="201"/>
      <c r="Z2" s="201"/>
      <c r="AA2" s="201"/>
      <c r="AB2" s="201"/>
      <c r="AC2" s="201"/>
    </row>
    <row r="3" spans="1:29" ht="13.2">
      <c r="A3" s="244"/>
      <c r="B3" s="244"/>
      <c r="C3" s="244"/>
      <c r="D3" s="244"/>
      <c r="E3" s="244"/>
      <c r="F3" s="244"/>
      <c r="G3" s="244"/>
      <c r="H3" s="244"/>
      <c r="I3" s="244"/>
      <c r="J3" s="244"/>
      <c r="K3" s="244"/>
      <c r="L3" s="244"/>
      <c r="M3" s="244"/>
      <c r="N3" s="244"/>
      <c r="O3" s="244"/>
      <c r="P3" s="244"/>
      <c r="Q3" s="244"/>
      <c r="R3" s="244"/>
      <c r="S3" s="244"/>
      <c r="T3" s="201"/>
      <c r="U3" s="201"/>
      <c r="V3" s="201"/>
      <c r="W3" s="201"/>
      <c r="X3" s="201"/>
      <c r="Y3" s="201"/>
      <c r="Z3" s="201"/>
      <c r="AA3" s="201"/>
      <c r="AB3" s="201"/>
      <c r="AC3" s="201"/>
    </row>
    <row r="4" spans="1:29" ht="13.8" thickBot="1">
      <c r="A4" s="244"/>
      <c r="B4" s="244"/>
      <c r="C4" s="244"/>
      <c r="D4" s="244"/>
      <c r="E4" s="244"/>
      <c r="F4" s="244"/>
      <c r="G4" s="244"/>
      <c r="H4" s="244"/>
      <c r="I4" s="244"/>
      <c r="J4" s="244"/>
      <c r="K4" s="244"/>
      <c r="L4" s="244"/>
      <c r="M4" s="244"/>
      <c r="N4" s="244"/>
      <c r="O4" s="244"/>
      <c r="P4" s="244"/>
      <c r="Q4" s="244"/>
      <c r="R4" s="244"/>
      <c r="S4" s="244"/>
      <c r="T4" s="202"/>
      <c r="U4" s="202"/>
      <c r="V4" s="202"/>
      <c r="W4" s="202"/>
      <c r="X4" s="202"/>
      <c r="Y4" s="202"/>
      <c r="Z4" s="202"/>
      <c r="AA4" s="202"/>
      <c r="AB4" s="202"/>
      <c r="AC4" s="202"/>
    </row>
    <row r="5" spans="1:29" ht="16.2" thickBot="1">
      <c r="A5" s="203"/>
      <c r="B5" s="204"/>
      <c r="C5" s="205"/>
      <c r="D5" s="206" t="s">
        <v>2</v>
      </c>
      <c r="E5" s="366" t="str">
        <f>IF('INPUT DATA'!F10="","",'INPUT DATA'!F10)</f>
        <v/>
      </c>
      <c r="F5" s="367"/>
      <c r="G5" s="368"/>
      <c r="H5" s="109"/>
      <c r="I5" s="206" t="s">
        <v>5</v>
      </c>
      <c r="J5" s="362" t="str">
        <f>IF('INPUT DATA'!F11="","",'INPUT DATA'!F11)</f>
        <v/>
      </c>
      <c r="K5" s="363"/>
      <c r="L5" s="363"/>
      <c r="M5" s="364"/>
      <c r="N5" s="207"/>
      <c r="O5" s="208"/>
      <c r="P5" s="109"/>
      <c r="Q5" s="109"/>
      <c r="R5" s="109"/>
      <c r="S5" s="203"/>
      <c r="T5" s="203"/>
      <c r="U5" s="203"/>
      <c r="V5" s="203"/>
      <c r="W5" s="203"/>
      <c r="X5" s="203"/>
      <c r="Y5" s="203"/>
      <c r="Z5" s="203"/>
      <c r="AA5" s="203"/>
      <c r="AB5" s="203"/>
      <c r="AC5" s="203"/>
    </row>
    <row r="6" spans="1:29" ht="16.2" customHeight="1" thickBot="1">
      <c r="A6" s="203"/>
      <c r="B6" s="204"/>
      <c r="C6" s="209"/>
      <c r="D6" s="206" t="s">
        <v>6</v>
      </c>
      <c r="E6" s="366" t="str">
        <f>IF('INPUT DATA'!F16="","",'INPUT DATA'!F16)</f>
        <v/>
      </c>
      <c r="F6" s="367"/>
      <c r="G6" s="368"/>
      <c r="H6" s="109"/>
      <c r="I6" s="206" t="s">
        <v>7</v>
      </c>
      <c r="J6" s="359" t="str">
        <f>IF('INPUT DATA'!F15="","",'INPUT DATA'!F15)</f>
        <v/>
      </c>
      <c r="K6" s="361"/>
      <c r="L6" s="360"/>
      <c r="M6" s="403" t="s">
        <v>9</v>
      </c>
      <c r="N6" s="403"/>
      <c r="O6" s="359" t="str">
        <f>IF('INPUT DATA'!F18="","",'INPUT DATA'!F18)</f>
        <v/>
      </c>
      <c r="P6" s="360"/>
      <c r="Q6" s="238"/>
      <c r="R6" s="239"/>
      <c r="S6" s="203"/>
      <c r="T6" s="203"/>
      <c r="U6" s="203"/>
      <c r="V6" s="203"/>
      <c r="W6" s="203"/>
      <c r="X6" s="203"/>
      <c r="Y6" s="203"/>
      <c r="Z6" s="203"/>
      <c r="AA6" s="203"/>
      <c r="AB6" s="203"/>
      <c r="AC6" s="203"/>
    </row>
    <row r="7" spans="1:29" ht="13.8" thickBot="1">
      <c r="A7" s="202"/>
      <c r="B7" s="210"/>
      <c r="C7" s="211"/>
      <c r="D7" s="211"/>
      <c r="E7" s="202"/>
      <c r="F7" s="202"/>
      <c r="G7" s="212"/>
      <c r="I7" s="202"/>
      <c r="J7" s="202"/>
      <c r="K7" s="202"/>
      <c r="L7" s="211"/>
      <c r="M7" s="211"/>
      <c r="N7" s="202"/>
      <c r="O7" s="202"/>
      <c r="P7" s="211"/>
      <c r="Q7" s="211"/>
      <c r="R7" s="211"/>
      <c r="S7" s="202"/>
      <c r="T7" s="202"/>
      <c r="U7" s="202"/>
      <c r="V7" s="202"/>
      <c r="W7" s="202"/>
      <c r="X7" s="202"/>
      <c r="Y7" s="202"/>
      <c r="Z7" s="202"/>
      <c r="AA7" s="202"/>
      <c r="AB7" s="202"/>
      <c r="AC7" s="202"/>
    </row>
    <row r="8" spans="1:29" ht="13.8" thickBot="1">
      <c r="A8" s="202"/>
      <c r="B8" s="404"/>
      <c r="C8" s="405"/>
      <c r="D8" s="405"/>
      <c r="E8" s="405"/>
      <c r="F8" s="405"/>
      <c r="G8" s="405"/>
      <c r="H8" s="405"/>
      <c r="I8" s="405"/>
      <c r="J8" s="405"/>
      <c r="K8" s="405"/>
      <c r="L8" s="405"/>
      <c r="M8" s="405"/>
      <c r="N8" s="405"/>
      <c r="O8" s="405"/>
      <c r="P8" s="405"/>
      <c r="Q8" s="405"/>
      <c r="R8" s="406"/>
      <c r="S8" s="202"/>
      <c r="T8" s="202"/>
      <c r="U8" s="202"/>
      <c r="V8" s="202"/>
      <c r="W8" s="202"/>
      <c r="X8" s="202"/>
      <c r="Y8" s="202"/>
      <c r="Z8" s="202"/>
      <c r="AA8" s="202"/>
      <c r="AB8" s="202"/>
      <c r="AC8" s="202"/>
    </row>
    <row r="9" spans="1:29" ht="14.4" thickBot="1">
      <c r="A9" s="201"/>
      <c r="B9" s="407" t="s">
        <v>14</v>
      </c>
      <c r="C9" s="408"/>
      <c r="D9" s="408"/>
      <c r="E9" s="409"/>
      <c r="F9" s="213" t="s">
        <v>15</v>
      </c>
      <c r="G9" s="412" t="str">
        <f>IF('INPUT DATA'!F27="","",'INPUT DATA'!F27)</f>
        <v/>
      </c>
      <c r="H9" s="413"/>
      <c r="I9" s="413"/>
      <c r="J9" s="413"/>
      <c r="K9" s="414"/>
      <c r="L9" s="374" t="s">
        <v>19</v>
      </c>
      <c r="M9" s="375"/>
      <c r="N9" s="376"/>
      <c r="O9" s="380" t="str">
        <f>IF('INPUT DATA'!F29="","",'INPUT DATA'!F29)</f>
        <v/>
      </c>
      <c r="P9" s="381"/>
      <c r="Q9" s="381"/>
      <c r="R9" s="382"/>
      <c r="S9" s="201"/>
      <c r="T9" s="201"/>
      <c r="U9" s="201"/>
      <c r="V9" s="201"/>
      <c r="W9" s="201"/>
      <c r="X9" s="201"/>
      <c r="Y9" s="201"/>
      <c r="Z9" s="201"/>
      <c r="AA9" s="201"/>
      <c r="AB9" s="201"/>
      <c r="AC9" s="201"/>
    </row>
    <row r="10" spans="1:29" ht="14.4" thickBot="1">
      <c r="A10" s="201"/>
      <c r="B10" s="410"/>
      <c r="C10" s="411"/>
      <c r="D10" s="411"/>
      <c r="E10" s="409"/>
      <c r="F10" s="214" t="s">
        <v>115</v>
      </c>
      <c r="G10" s="415" t="str">
        <f>IF('INPUT DATA'!F28="","",'INPUT DATA'!F28)</f>
        <v/>
      </c>
      <c r="H10" s="416"/>
      <c r="I10" s="416"/>
      <c r="J10" s="416"/>
      <c r="K10" s="417"/>
      <c r="L10" s="432" t="s">
        <v>17</v>
      </c>
      <c r="M10" s="433"/>
      <c r="N10" s="434"/>
      <c r="O10" s="377" t="str">
        <f>IF('INPUT DATA'!F26="","",'INPUT DATA'!F26)</f>
        <v/>
      </c>
      <c r="P10" s="378"/>
      <c r="Q10" s="378"/>
      <c r="R10" s="379"/>
      <c r="S10" s="201"/>
      <c r="T10" s="201"/>
      <c r="U10" s="201"/>
      <c r="V10" s="201"/>
      <c r="W10" s="201"/>
      <c r="X10" s="201"/>
      <c r="Y10" s="201"/>
      <c r="Z10" s="201"/>
      <c r="AA10" s="201"/>
      <c r="AB10" s="201"/>
      <c r="AC10" s="201"/>
    </row>
    <row r="11" spans="1:29" ht="14.4" customHeight="1" thickBot="1">
      <c r="A11" s="202"/>
      <c r="B11" s="390" t="s">
        <v>20</v>
      </c>
      <c r="C11" s="391"/>
      <c r="D11" s="391"/>
      <c r="E11" s="391"/>
      <c r="F11" s="394" t="s">
        <v>11</v>
      </c>
      <c r="G11" s="395"/>
      <c r="H11" s="400" t="s">
        <v>21</v>
      </c>
      <c r="I11" s="422" t="s">
        <v>22</v>
      </c>
      <c r="J11" s="425" t="s">
        <v>99</v>
      </c>
      <c r="K11" s="428" t="s">
        <v>23</v>
      </c>
      <c r="L11" s="429"/>
      <c r="M11" s="429"/>
      <c r="N11" s="429"/>
      <c r="O11" s="429"/>
      <c r="P11" s="429"/>
      <c r="Q11" s="429"/>
      <c r="R11" s="395"/>
      <c r="S11" s="215"/>
      <c r="T11" s="202"/>
      <c r="U11" s="202"/>
      <c r="V11" s="202"/>
      <c r="W11" s="202"/>
      <c r="X11" s="202"/>
      <c r="Y11" s="202"/>
      <c r="Z11" s="202"/>
      <c r="AA11" s="202"/>
      <c r="AB11" s="202"/>
      <c r="AC11" s="202"/>
    </row>
    <row r="12" spans="1:29" ht="25.2" customHeight="1" thickBot="1">
      <c r="A12" s="202"/>
      <c r="B12" s="392"/>
      <c r="C12" s="393"/>
      <c r="D12" s="393"/>
      <c r="E12" s="393"/>
      <c r="F12" s="396"/>
      <c r="G12" s="397"/>
      <c r="H12" s="401"/>
      <c r="I12" s="423"/>
      <c r="J12" s="426"/>
      <c r="K12" s="387" t="s">
        <v>102</v>
      </c>
      <c r="L12" s="430"/>
      <c r="M12" s="430"/>
      <c r="N12" s="388"/>
      <c r="O12" s="388"/>
      <c r="P12" s="388"/>
      <c r="Q12" s="431"/>
      <c r="R12" s="216" t="s">
        <v>106</v>
      </c>
      <c r="S12" s="215"/>
      <c r="T12" s="202"/>
      <c r="U12" s="202"/>
      <c r="V12" s="202"/>
      <c r="W12" s="202"/>
      <c r="X12" s="202"/>
      <c r="Y12" s="202"/>
      <c r="Z12" s="202"/>
      <c r="AA12" s="202"/>
      <c r="AB12" s="202"/>
      <c r="AC12" s="202"/>
    </row>
    <row r="13" spans="1:29" ht="25.2" customHeight="1" thickBot="1">
      <c r="A13" s="202"/>
      <c r="B13" s="392"/>
      <c r="C13" s="393"/>
      <c r="D13" s="393"/>
      <c r="E13" s="393"/>
      <c r="F13" s="396"/>
      <c r="G13" s="397"/>
      <c r="H13" s="401"/>
      <c r="I13" s="423"/>
      <c r="J13" s="426"/>
      <c r="K13" s="387" t="s">
        <v>230</v>
      </c>
      <c r="L13" s="388"/>
      <c r="M13" s="389"/>
      <c r="N13" s="383" t="s">
        <v>103</v>
      </c>
      <c r="O13" s="383" t="s">
        <v>104</v>
      </c>
      <c r="P13" s="383" t="s">
        <v>105</v>
      </c>
      <c r="Q13" s="385" t="s">
        <v>113</v>
      </c>
      <c r="R13" s="383" t="s">
        <v>108</v>
      </c>
      <c r="S13" s="215"/>
      <c r="T13" s="202"/>
      <c r="U13" s="202"/>
      <c r="V13" s="202"/>
      <c r="W13" s="202"/>
      <c r="X13" s="202"/>
      <c r="Y13" s="202"/>
      <c r="Z13" s="202"/>
      <c r="AA13" s="202"/>
      <c r="AB13" s="202"/>
      <c r="AC13" s="202"/>
    </row>
    <row r="14" spans="1:29" ht="25.2" customHeight="1" thickBot="1">
      <c r="A14" s="202"/>
      <c r="B14" s="392"/>
      <c r="C14" s="393"/>
      <c r="D14" s="393"/>
      <c r="E14" s="393"/>
      <c r="F14" s="398"/>
      <c r="G14" s="399"/>
      <c r="H14" s="402"/>
      <c r="I14" s="424"/>
      <c r="J14" s="427"/>
      <c r="K14" s="217" t="s">
        <v>229</v>
      </c>
      <c r="L14" s="218" t="s">
        <v>111</v>
      </c>
      <c r="M14" s="219" t="s">
        <v>112</v>
      </c>
      <c r="N14" s="384"/>
      <c r="O14" s="384"/>
      <c r="P14" s="384"/>
      <c r="Q14" s="386"/>
      <c r="R14" s="384"/>
      <c r="S14" s="215"/>
      <c r="T14" s="202"/>
      <c r="U14" s="202"/>
      <c r="V14" s="202"/>
      <c r="W14" s="202"/>
      <c r="X14" s="202"/>
      <c r="Y14" s="202"/>
      <c r="Z14" s="202"/>
      <c r="AA14" s="202"/>
      <c r="AB14" s="202"/>
      <c r="AC14" s="202"/>
    </row>
    <row r="15" spans="1:29" ht="16.2" thickBot="1">
      <c r="A15" s="203"/>
      <c r="B15" s="418" t="s">
        <v>10</v>
      </c>
      <c r="C15" s="419"/>
      <c r="D15" s="419"/>
      <c r="E15" s="419"/>
      <c r="F15" s="420"/>
      <c r="G15" s="420"/>
      <c r="H15" s="420"/>
      <c r="I15" s="420"/>
      <c r="J15" s="408"/>
      <c r="K15" s="420"/>
      <c r="L15" s="420"/>
      <c r="M15" s="420"/>
      <c r="N15" s="420"/>
      <c r="O15" s="420"/>
      <c r="P15" s="420"/>
      <c r="Q15" s="420"/>
      <c r="R15" s="421"/>
      <c r="S15" s="203"/>
      <c r="T15" s="203"/>
      <c r="U15" s="203"/>
      <c r="V15" s="203"/>
      <c r="W15" s="203"/>
      <c r="X15" s="203"/>
      <c r="Y15" s="203"/>
      <c r="Z15" s="203"/>
      <c r="AA15" s="203"/>
      <c r="AB15" s="203"/>
      <c r="AC15" s="203"/>
    </row>
    <row r="16" spans="1:29" ht="15">
      <c r="A16" s="203"/>
      <c r="B16" s="220">
        <v>1</v>
      </c>
      <c r="C16" s="369" t="str">
        <f>IF('INPUT DATA'!L11="","",'INPUT DATA'!L11)</f>
        <v/>
      </c>
      <c r="D16" s="370"/>
      <c r="E16" s="371"/>
      <c r="F16" s="372" t="str">
        <f>IF('INPUT DATA'!M11="","",'INPUT DATA'!M11)</f>
        <v/>
      </c>
      <c r="G16" s="373"/>
      <c r="H16" s="175" t="str">
        <f>IF('INPUT DATA'!N11="","",'INPUT DATA'!N11)</f>
        <v/>
      </c>
      <c r="I16" s="38" t="str">
        <f ca="1">IF(H16="","",DATEDIF(H16,TODAY(),""))</f>
        <v/>
      </c>
      <c r="J16" s="221" t="s">
        <v>100</v>
      </c>
      <c r="K16" s="91"/>
      <c r="L16" s="92"/>
      <c r="M16" s="92"/>
      <c r="N16" s="92"/>
      <c r="O16" s="92"/>
      <c r="P16" s="92"/>
      <c r="Q16" s="92"/>
      <c r="R16" s="93"/>
      <c r="S16" s="203"/>
      <c r="T16" s="203"/>
      <c r="U16" s="203"/>
      <c r="V16" s="203"/>
      <c r="W16" s="203"/>
      <c r="X16" s="203"/>
      <c r="Y16" s="203"/>
      <c r="Z16" s="203"/>
      <c r="AA16" s="203"/>
      <c r="AB16" s="203"/>
      <c r="AC16" s="203"/>
    </row>
    <row r="17" spans="1:29" ht="15">
      <c r="A17" s="203"/>
      <c r="B17" s="223">
        <v>2</v>
      </c>
      <c r="C17" s="369" t="str">
        <f>IF('INPUT DATA'!L12="","",'INPUT DATA'!L12)</f>
        <v/>
      </c>
      <c r="D17" s="370"/>
      <c r="E17" s="371"/>
      <c r="F17" s="372" t="str">
        <f>IF('INPUT DATA'!M12="","",'INPUT DATA'!M12)</f>
        <v/>
      </c>
      <c r="G17" s="373"/>
      <c r="H17" s="176" t="str">
        <f>IF('INPUT DATA'!N12="","",'INPUT DATA'!N12)</f>
        <v/>
      </c>
      <c r="I17" s="88" t="str">
        <f ca="1">IF(H17="","",DATEDIF(H17,TODAY(),"Y"))</f>
        <v/>
      </c>
      <c r="J17" s="224" t="s">
        <v>100</v>
      </c>
      <c r="K17" s="94"/>
      <c r="L17" s="95"/>
      <c r="M17" s="95"/>
      <c r="N17" s="95"/>
      <c r="O17" s="95"/>
      <c r="P17" s="95"/>
      <c r="Q17" s="95"/>
      <c r="R17" s="96"/>
      <c r="S17" s="203"/>
      <c r="T17" s="203"/>
      <c r="U17" s="203"/>
      <c r="V17" s="203"/>
      <c r="W17" s="203"/>
      <c r="X17" s="203"/>
      <c r="Y17" s="203"/>
      <c r="Z17" s="203"/>
      <c r="AA17" s="203"/>
      <c r="AB17" s="203"/>
      <c r="AC17" s="203"/>
    </row>
    <row r="18" spans="1:29" ht="15">
      <c r="A18" s="203"/>
      <c r="B18" s="223">
        <v>3</v>
      </c>
      <c r="C18" s="369" t="str">
        <f>IF('INPUT DATA'!L13="","",'INPUT DATA'!L13)</f>
        <v/>
      </c>
      <c r="D18" s="370"/>
      <c r="E18" s="371"/>
      <c r="F18" s="372" t="str">
        <f>IF('INPUT DATA'!M13="","",'INPUT DATA'!M13)</f>
        <v/>
      </c>
      <c r="G18" s="373"/>
      <c r="H18" s="176" t="str">
        <f>IF('INPUT DATA'!N13="","",'INPUT DATA'!N13)</f>
        <v/>
      </c>
      <c r="I18" s="88" t="str">
        <f t="shared" ref="I18:I65" ca="1" si="0">IF(H18="","",DATEDIF(H18,TODAY(),"Y"))</f>
        <v/>
      </c>
      <c r="J18" s="224" t="s">
        <v>100</v>
      </c>
      <c r="K18" s="94"/>
      <c r="L18" s="95"/>
      <c r="M18" s="95"/>
      <c r="N18" s="95"/>
      <c r="O18" s="95"/>
      <c r="P18" s="95"/>
      <c r="Q18" s="95"/>
      <c r="R18" s="96"/>
      <c r="S18" s="203"/>
      <c r="T18" s="203"/>
      <c r="U18" s="203"/>
      <c r="V18" s="203"/>
      <c r="W18" s="203"/>
      <c r="X18" s="203"/>
      <c r="Y18" s="203"/>
      <c r="Z18" s="203"/>
      <c r="AA18" s="203"/>
      <c r="AB18" s="203"/>
      <c r="AC18" s="203"/>
    </row>
    <row r="19" spans="1:29" ht="15">
      <c r="A19" s="203"/>
      <c r="B19" s="223">
        <v>4</v>
      </c>
      <c r="C19" s="369" t="str">
        <f>IF('INPUT DATA'!L14="","",'INPUT DATA'!L14)</f>
        <v/>
      </c>
      <c r="D19" s="370"/>
      <c r="E19" s="371"/>
      <c r="F19" s="372" t="str">
        <f>IF('INPUT DATA'!M14="","",'INPUT DATA'!M14)</f>
        <v/>
      </c>
      <c r="G19" s="373"/>
      <c r="H19" s="176" t="str">
        <f>IF('INPUT DATA'!N14="","",'INPUT DATA'!N14)</f>
        <v/>
      </c>
      <c r="I19" s="88" t="str">
        <f t="shared" ca="1" si="0"/>
        <v/>
      </c>
      <c r="J19" s="224"/>
      <c r="K19" s="94"/>
      <c r="L19" s="95"/>
      <c r="M19" s="95"/>
      <c r="N19" s="95"/>
      <c r="O19" s="95"/>
      <c r="P19" s="95"/>
      <c r="Q19" s="95"/>
      <c r="R19" s="96"/>
      <c r="S19" s="203"/>
      <c r="T19" s="203"/>
      <c r="U19" s="203"/>
      <c r="V19" s="203"/>
      <c r="W19" s="203"/>
      <c r="X19" s="203"/>
      <c r="Y19" s="203"/>
      <c r="Z19" s="203"/>
      <c r="AA19" s="203"/>
      <c r="AB19" s="203"/>
      <c r="AC19" s="203"/>
    </row>
    <row r="20" spans="1:29" ht="15">
      <c r="A20" s="203"/>
      <c r="B20" s="223">
        <v>5</v>
      </c>
      <c r="C20" s="369" t="str">
        <f>IF('INPUT DATA'!L15="","",'INPUT DATA'!L15)</f>
        <v/>
      </c>
      <c r="D20" s="370"/>
      <c r="E20" s="371"/>
      <c r="F20" s="372" t="str">
        <f>IF('INPUT DATA'!M15="","",'INPUT DATA'!M15)</f>
        <v/>
      </c>
      <c r="G20" s="373"/>
      <c r="H20" s="176" t="str">
        <f>IF('INPUT DATA'!N15="","",'INPUT DATA'!N15)</f>
        <v/>
      </c>
      <c r="I20" s="88" t="str">
        <f t="shared" ca="1" si="0"/>
        <v/>
      </c>
      <c r="J20" s="224"/>
      <c r="K20" s="94"/>
      <c r="L20" s="95"/>
      <c r="M20" s="95"/>
      <c r="N20" s="95"/>
      <c r="O20" s="95"/>
      <c r="P20" s="95"/>
      <c r="Q20" s="95"/>
      <c r="R20" s="96"/>
      <c r="S20" s="203"/>
      <c r="T20" s="203"/>
      <c r="U20" s="203"/>
      <c r="V20" s="203"/>
      <c r="W20" s="203"/>
      <c r="X20" s="203"/>
      <c r="Y20" s="203"/>
      <c r="Z20" s="203"/>
      <c r="AA20" s="203"/>
      <c r="AB20" s="203"/>
      <c r="AC20" s="203"/>
    </row>
    <row r="21" spans="1:29" ht="15">
      <c r="A21" s="203"/>
      <c r="B21" s="223">
        <v>6</v>
      </c>
      <c r="C21" s="369" t="str">
        <f>IF('INPUT DATA'!L16="","",'INPUT DATA'!L16)</f>
        <v/>
      </c>
      <c r="D21" s="370"/>
      <c r="E21" s="371"/>
      <c r="F21" s="372" t="str">
        <f>IF('INPUT DATA'!M16="","",'INPUT DATA'!M16)</f>
        <v/>
      </c>
      <c r="G21" s="373"/>
      <c r="H21" s="176" t="str">
        <f>IF('INPUT DATA'!N16="","",'INPUT DATA'!N16)</f>
        <v/>
      </c>
      <c r="I21" s="88" t="str">
        <f t="shared" ca="1" si="0"/>
        <v/>
      </c>
      <c r="J21" s="224"/>
      <c r="K21" s="94"/>
      <c r="L21" s="95"/>
      <c r="M21" s="95"/>
      <c r="N21" s="95"/>
      <c r="O21" s="95"/>
      <c r="P21" s="95"/>
      <c r="Q21" s="95"/>
      <c r="R21" s="96"/>
      <c r="S21" s="203"/>
      <c r="T21" s="203"/>
      <c r="U21" s="203"/>
      <c r="V21" s="203"/>
      <c r="W21" s="203"/>
      <c r="X21" s="203"/>
      <c r="Y21" s="203"/>
      <c r="Z21" s="203"/>
      <c r="AA21" s="203"/>
      <c r="AB21" s="203"/>
      <c r="AC21" s="203"/>
    </row>
    <row r="22" spans="1:29" ht="15">
      <c r="A22" s="203"/>
      <c r="B22" s="223">
        <v>7</v>
      </c>
      <c r="C22" s="369" t="str">
        <f>IF('INPUT DATA'!L17="","",'INPUT DATA'!L17)</f>
        <v/>
      </c>
      <c r="D22" s="370"/>
      <c r="E22" s="371"/>
      <c r="F22" s="372" t="str">
        <f>IF('INPUT DATA'!M17="","",'INPUT DATA'!M17)</f>
        <v/>
      </c>
      <c r="G22" s="373"/>
      <c r="H22" s="176" t="str">
        <f>IF('INPUT DATA'!N17="","",'INPUT DATA'!N17)</f>
        <v/>
      </c>
      <c r="I22" s="88" t="str">
        <f t="shared" ca="1" si="0"/>
        <v/>
      </c>
      <c r="J22" s="224"/>
      <c r="K22" s="94"/>
      <c r="L22" s="95"/>
      <c r="M22" s="95"/>
      <c r="N22" s="95"/>
      <c r="O22" s="95"/>
      <c r="P22" s="95"/>
      <c r="Q22" s="95"/>
      <c r="R22" s="96"/>
      <c r="S22" s="203"/>
      <c r="T22" s="203"/>
      <c r="U22" s="203"/>
      <c r="V22" s="203"/>
      <c r="W22" s="203"/>
      <c r="X22" s="203"/>
      <c r="Y22" s="203"/>
      <c r="Z22" s="203"/>
      <c r="AA22" s="203"/>
      <c r="AB22" s="203"/>
      <c r="AC22" s="203"/>
    </row>
    <row r="23" spans="1:29" ht="15">
      <c r="A23" s="203"/>
      <c r="B23" s="223">
        <v>8</v>
      </c>
      <c r="C23" s="369" t="str">
        <f>IF('INPUT DATA'!L18="","",'INPUT DATA'!L18)</f>
        <v/>
      </c>
      <c r="D23" s="370"/>
      <c r="E23" s="371"/>
      <c r="F23" s="372" t="str">
        <f>IF('INPUT DATA'!M18="","",'INPUT DATA'!M18)</f>
        <v/>
      </c>
      <c r="G23" s="373"/>
      <c r="H23" s="176" t="str">
        <f>IF('INPUT DATA'!N18="","",'INPUT DATA'!N18)</f>
        <v/>
      </c>
      <c r="I23" s="88" t="str">
        <f t="shared" ca="1" si="0"/>
        <v/>
      </c>
      <c r="J23" s="224"/>
      <c r="K23" s="94"/>
      <c r="L23" s="95"/>
      <c r="M23" s="95"/>
      <c r="N23" s="95"/>
      <c r="O23" s="95"/>
      <c r="P23" s="95"/>
      <c r="Q23" s="95"/>
      <c r="R23" s="96"/>
      <c r="S23" s="203"/>
      <c r="T23" s="203"/>
      <c r="U23" s="203"/>
      <c r="V23" s="203"/>
      <c r="W23" s="203"/>
      <c r="X23" s="203"/>
      <c r="Y23" s="203"/>
      <c r="Z23" s="203"/>
      <c r="AA23" s="203"/>
      <c r="AB23" s="203"/>
      <c r="AC23" s="203"/>
    </row>
    <row r="24" spans="1:29" ht="15">
      <c r="A24" s="203"/>
      <c r="B24" s="223">
        <v>9</v>
      </c>
      <c r="C24" s="369" t="str">
        <f>IF('INPUT DATA'!L19="","",'INPUT DATA'!L19)</f>
        <v/>
      </c>
      <c r="D24" s="370"/>
      <c r="E24" s="371"/>
      <c r="F24" s="372" t="str">
        <f>IF('INPUT DATA'!M19="","",'INPUT DATA'!M19)</f>
        <v/>
      </c>
      <c r="G24" s="373"/>
      <c r="H24" s="176" t="str">
        <f>IF('INPUT DATA'!N19="","",'INPUT DATA'!N19)</f>
        <v/>
      </c>
      <c r="I24" s="88" t="str">
        <f t="shared" ca="1" si="0"/>
        <v/>
      </c>
      <c r="J24" s="224"/>
      <c r="K24" s="94"/>
      <c r="L24" s="95"/>
      <c r="M24" s="95"/>
      <c r="N24" s="95"/>
      <c r="O24" s="95"/>
      <c r="P24" s="95"/>
      <c r="Q24" s="95"/>
      <c r="R24" s="96"/>
      <c r="S24" s="203"/>
      <c r="T24" s="203"/>
      <c r="U24" s="203"/>
      <c r="V24" s="203"/>
      <c r="W24" s="203"/>
      <c r="X24" s="203"/>
      <c r="Y24" s="203"/>
      <c r="Z24" s="203"/>
      <c r="AA24" s="203"/>
      <c r="AB24" s="203"/>
      <c r="AC24" s="203"/>
    </row>
    <row r="25" spans="1:29" ht="15">
      <c r="A25" s="203"/>
      <c r="B25" s="223">
        <v>10</v>
      </c>
      <c r="C25" s="369" t="str">
        <f>IF('INPUT DATA'!L20="","",'INPUT DATA'!L20)</f>
        <v/>
      </c>
      <c r="D25" s="370"/>
      <c r="E25" s="371"/>
      <c r="F25" s="372" t="str">
        <f>IF('INPUT DATA'!M20="","",'INPUT DATA'!M20)</f>
        <v/>
      </c>
      <c r="G25" s="373"/>
      <c r="H25" s="176" t="str">
        <f>IF('INPUT DATA'!N20="","",'INPUT DATA'!N20)</f>
        <v/>
      </c>
      <c r="I25" s="88" t="str">
        <f t="shared" ca="1" si="0"/>
        <v/>
      </c>
      <c r="J25" s="224"/>
      <c r="K25" s="94"/>
      <c r="L25" s="95"/>
      <c r="M25" s="95"/>
      <c r="N25" s="95"/>
      <c r="O25" s="95"/>
      <c r="P25" s="95"/>
      <c r="Q25" s="95"/>
      <c r="R25" s="96"/>
      <c r="S25" s="203"/>
      <c r="T25" s="203"/>
      <c r="U25" s="203"/>
      <c r="V25" s="203"/>
      <c r="W25" s="203"/>
      <c r="X25" s="203"/>
      <c r="Y25" s="203"/>
      <c r="Z25" s="203"/>
      <c r="AA25" s="203"/>
      <c r="AB25" s="203"/>
      <c r="AC25" s="203"/>
    </row>
    <row r="26" spans="1:29" ht="15">
      <c r="A26" s="203"/>
      <c r="B26" s="223">
        <v>11</v>
      </c>
      <c r="C26" s="369" t="str">
        <f>IF('INPUT DATA'!L21="","",'INPUT DATA'!L21)</f>
        <v/>
      </c>
      <c r="D26" s="370"/>
      <c r="E26" s="371"/>
      <c r="F26" s="372" t="str">
        <f>IF('INPUT DATA'!M21="","",'INPUT DATA'!M21)</f>
        <v/>
      </c>
      <c r="G26" s="373"/>
      <c r="H26" s="176" t="str">
        <f>IF('INPUT DATA'!N21="","",'INPUT DATA'!N21)</f>
        <v/>
      </c>
      <c r="I26" s="88" t="str">
        <f t="shared" ca="1" si="0"/>
        <v/>
      </c>
      <c r="J26" s="224"/>
      <c r="K26" s="94"/>
      <c r="L26" s="95"/>
      <c r="M26" s="95"/>
      <c r="N26" s="95"/>
      <c r="O26" s="95"/>
      <c r="P26" s="95"/>
      <c r="Q26" s="95"/>
      <c r="R26" s="96"/>
      <c r="S26" s="203"/>
      <c r="T26" s="203"/>
      <c r="U26" s="203"/>
      <c r="V26" s="203"/>
      <c r="W26" s="203"/>
      <c r="X26" s="203"/>
      <c r="Y26" s="203"/>
      <c r="Z26" s="203"/>
      <c r="AA26" s="203"/>
      <c r="AB26" s="203"/>
      <c r="AC26" s="203"/>
    </row>
    <row r="27" spans="1:29" ht="15">
      <c r="A27" s="203"/>
      <c r="B27" s="223">
        <v>12</v>
      </c>
      <c r="C27" s="369" t="str">
        <f>IF('INPUT DATA'!L22="","",'INPUT DATA'!L22)</f>
        <v/>
      </c>
      <c r="D27" s="370"/>
      <c r="E27" s="371"/>
      <c r="F27" s="372" t="str">
        <f>IF('INPUT DATA'!M22="","",'INPUT DATA'!M22)</f>
        <v/>
      </c>
      <c r="G27" s="373"/>
      <c r="H27" s="176" t="str">
        <f>IF('INPUT DATA'!N22="","",'INPUT DATA'!N22)</f>
        <v/>
      </c>
      <c r="I27" s="88" t="str">
        <f t="shared" ca="1" si="0"/>
        <v/>
      </c>
      <c r="J27" s="224"/>
      <c r="K27" s="94"/>
      <c r="L27" s="95"/>
      <c r="M27" s="95"/>
      <c r="N27" s="95"/>
      <c r="O27" s="95"/>
      <c r="P27" s="95"/>
      <c r="Q27" s="95"/>
      <c r="R27" s="96"/>
      <c r="S27" s="203"/>
      <c r="T27" s="203"/>
      <c r="U27" s="203"/>
      <c r="V27" s="203"/>
      <c r="W27" s="203"/>
      <c r="X27" s="203"/>
      <c r="Y27" s="203"/>
      <c r="Z27" s="203"/>
      <c r="AA27" s="203"/>
      <c r="AB27" s="203"/>
      <c r="AC27" s="203"/>
    </row>
    <row r="28" spans="1:29" ht="15">
      <c r="A28" s="203"/>
      <c r="B28" s="223">
        <v>13</v>
      </c>
      <c r="C28" s="369" t="str">
        <f>IF('INPUT DATA'!L23="","",'INPUT DATA'!L23)</f>
        <v/>
      </c>
      <c r="D28" s="370"/>
      <c r="E28" s="371"/>
      <c r="F28" s="372" t="str">
        <f>IF('INPUT DATA'!M23="","",'INPUT DATA'!M23)</f>
        <v/>
      </c>
      <c r="G28" s="373"/>
      <c r="H28" s="176" t="str">
        <f>IF('INPUT DATA'!N23="","",'INPUT DATA'!N23)</f>
        <v/>
      </c>
      <c r="I28" s="88" t="str">
        <f t="shared" ca="1" si="0"/>
        <v/>
      </c>
      <c r="J28" s="224"/>
      <c r="K28" s="94"/>
      <c r="L28" s="95"/>
      <c r="M28" s="95"/>
      <c r="N28" s="95"/>
      <c r="O28" s="95"/>
      <c r="P28" s="95"/>
      <c r="Q28" s="95"/>
      <c r="R28" s="96"/>
      <c r="S28" s="203"/>
      <c r="T28" s="203"/>
      <c r="U28" s="203"/>
      <c r="V28" s="203"/>
      <c r="W28" s="203"/>
      <c r="X28" s="203"/>
      <c r="Y28" s="203"/>
      <c r="Z28" s="203"/>
      <c r="AA28" s="203"/>
      <c r="AB28" s="203"/>
      <c r="AC28" s="203"/>
    </row>
    <row r="29" spans="1:29" ht="15">
      <c r="A29" s="203"/>
      <c r="B29" s="223">
        <v>14</v>
      </c>
      <c r="C29" s="369" t="str">
        <f>IF('INPUT DATA'!L24="","",'INPUT DATA'!L24)</f>
        <v/>
      </c>
      <c r="D29" s="370"/>
      <c r="E29" s="371"/>
      <c r="F29" s="372" t="str">
        <f>IF('INPUT DATA'!M24="","",'INPUT DATA'!M24)</f>
        <v/>
      </c>
      <c r="G29" s="373"/>
      <c r="H29" s="176" t="str">
        <f>IF('INPUT DATA'!N24="","",'INPUT DATA'!N24)</f>
        <v/>
      </c>
      <c r="I29" s="88" t="str">
        <f t="shared" ca="1" si="0"/>
        <v/>
      </c>
      <c r="J29" s="224"/>
      <c r="K29" s="94"/>
      <c r="L29" s="95"/>
      <c r="M29" s="95"/>
      <c r="N29" s="95"/>
      <c r="O29" s="95"/>
      <c r="P29" s="95"/>
      <c r="Q29" s="95"/>
      <c r="R29" s="96"/>
      <c r="S29" s="203"/>
      <c r="T29" s="203"/>
      <c r="U29" s="203"/>
      <c r="V29" s="203"/>
      <c r="W29" s="203"/>
      <c r="X29" s="203"/>
      <c r="Y29" s="203"/>
      <c r="Z29" s="203"/>
      <c r="AA29" s="203"/>
      <c r="AB29" s="203"/>
      <c r="AC29" s="203"/>
    </row>
    <row r="30" spans="1:29" ht="15">
      <c r="A30" s="203"/>
      <c r="B30" s="223">
        <v>15</v>
      </c>
      <c r="C30" s="369" t="str">
        <f>IF('INPUT DATA'!L25="","",'INPUT DATA'!L25)</f>
        <v/>
      </c>
      <c r="D30" s="370"/>
      <c r="E30" s="371"/>
      <c r="F30" s="372" t="str">
        <f>IF('INPUT DATA'!M25="","",'INPUT DATA'!M25)</f>
        <v/>
      </c>
      <c r="G30" s="373"/>
      <c r="H30" s="176" t="str">
        <f>IF('INPUT DATA'!N25="","",'INPUT DATA'!N25)</f>
        <v/>
      </c>
      <c r="I30" s="88" t="str">
        <f t="shared" ca="1" si="0"/>
        <v/>
      </c>
      <c r="J30" s="224"/>
      <c r="K30" s="94"/>
      <c r="L30" s="95"/>
      <c r="M30" s="95"/>
      <c r="N30" s="95"/>
      <c r="O30" s="95"/>
      <c r="P30" s="95"/>
      <c r="Q30" s="95"/>
      <c r="R30" s="96"/>
      <c r="S30" s="203"/>
      <c r="T30" s="203"/>
      <c r="U30" s="203"/>
      <c r="V30" s="203"/>
      <c r="W30" s="203"/>
      <c r="X30" s="203"/>
      <c r="Y30" s="203"/>
      <c r="Z30" s="203"/>
      <c r="AA30" s="203"/>
      <c r="AB30" s="203"/>
      <c r="AC30" s="203"/>
    </row>
    <row r="31" spans="1:29" ht="15">
      <c r="A31" s="203"/>
      <c r="B31" s="223">
        <v>16</v>
      </c>
      <c r="C31" s="369" t="str">
        <f>IF('INPUT DATA'!L26="","",'INPUT DATA'!L26)</f>
        <v/>
      </c>
      <c r="D31" s="370"/>
      <c r="E31" s="371"/>
      <c r="F31" s="372" t="str">
        <f>IF('INPUT DATA'!M26="","",'INPUT DATA'!M26)</f>
        <v/>
      </c>
      <c r="G31" s="373"/>
      <c r="H31" s="176" t="str">
        <f>IF('INPUT DATA'!N26="","",'INPUT DATA'!N26)</f>
        <v/>
      </c>
      <c r="I31" s="88" t="str">
        <f t="shared" ca="1" si="0"/>
        <v/>
      </c>
      <c r="J31" s="224"/>
      <c r="K31" s="94"/>
      <c r="L31" s="95"/>
      <c r="M31" s="95"/>
      <c r="N31" s="95"/>
      <c r="O31" s="95"/>
      <c r="P31" s="95"/>
      <c r="Q31" s="95"/>
      <c r="R31" s="96"/>
      <c r="S31" s="203"/>
      <c r="T31" s="203"/>
      <c r="U31" s="203"/>
      <c r="V31" s="203"/>
      <c r="W31" s="203"/>
      <c r="X31" s="203"/>
      <c r="Y31" s="203"/>
      <c r="Z31" s="203"/>
      <c r="AA31" s="203"/>
      <c r="AB31" s="203"/>
      <c r="AC31" s="203"/>
    </row>
    <row r="32" spans="1:29" ht="15">
      <c r="A32" s="203"/>
      <c r="B32" s="223">
        <v>17</v>
      </c>
      <c r="C32" s="369" t="str">
        <f>IF('INPUT DATA'!L27="","",'INPUT DATA'!L27)</f>
        <v/>
      </c>
      <c r="D32" s="370"/>
      <c r="E32" s="371"/>
      <c r="F32" s="372" t="str">
        <f>IF('INPUT DATA'!M27="","",'INPUT DATA'!M27)</f>
        <v/>
      </c>
      <c r="G32" s="373"/>
      <c r="H32" s="176" t="str">
        <f>IF('INPUT DATA'!N27="","",'INPUT DATA'!N27)</f>
        <v/>
      </c>
      <c r="I32" s="88" t="str">
        <f t="shared" ca="1" si="0"/>
        <v/>
      </c>
      <c r="J32" s="224"/>
      <c r="K32" s="94"/>
      <c r="L32" s="95"/>
      <c r="M32" s="95"/>
      <c r="N32" s="95"/>
      <c r="O32" s="95"/>
      <c r="P32" s="95"/>
      <c r="Q32" s="95"/>
      <c r="R32" s="96"/>
      <c r="S32" s="203"/>
      <c r="T32" s="203"/>
      <c r="U32" s="203"/>
      <c r="V32" s="203"/>
      <c r="W32" s="203"/>
      <c r="X32" s="203"/>
      <c r="Y32" s="203"/>
      <c r="Z32" s="203"/>
      <c r="AA32" s="203"/>
      <c r="AB32" s="203"/>
      <c r="AC32" s="203"/>
    </row>
    <row r="33" spans="1:29" ht="15">
      <c r="A33" s="203"/>
      <c r="B33" s="223">
        <v>18</v>
      </c>
      <c r="C33" s="369" t="str">
        <f>IF('INPUT DATA'!L28="","",'INPUT DATA'!L28)</f>
        <v/>
      </c>
      <c r="D33" s="370"/>
      <c r="E33" s="371"/>
      <c r="F33" s="372" t="str">
        <f>IF('INPUT DATA'!M28="","",'INPUT DATA'!M28)</f>
        <v/>
      </c>
      <c r="G33" s="373"/>
      <c r="H33" s="176" t="str">
        <f>IF('INPUT DATA'!N28="","",'INPUT DATA'!N28)</f>
        <v/>
      </c>
      <c r="I33" s="88" t="str">
        <f t="shared" ca="1" si="0"/>
        <v/>
      </c>
      <c r="J33" s="224"/>
      <c r="K33" s="94"/>
      <c r="L33" s="95"/>
      <c r="M33" s="95"/>
      <c r="N33" s="95"/>
      <c r="O33" s="95"/>
      <c r="P33" s="95"/>
      <c r="Q33" s="95"/>
      <c r="R33" s="96"/>
      <c r="S33" s="203"/>
      <c r="T33" s="203"/>
      <c r="U33" s="203"/>
      <c r="V33" s="203"/>
      <c r="W33" s="203"/>
      <c r="X33" s="203"/>
      <c r="Y33" s="203"/>
      <c r="Z33" s="203"/>
      <c r="AA33" s="203"/>
      <c r="AB33" s="203"/>
      <c r="AC33" s="203"/>
    </row>
    <row r="34" spans="1:29" ht="15">
      <c r="A34" s="203"/>
      <c r="B34" s="223">
        <v>19</v>
      </c>
      <c r="C34" s="369" t="str">
        <f>IF('INPUT DATA'!L29="","",'INPUT DATA'!L29)</f>
        <v/>
      </c>
      <c r="D34" s="370"/>
      <c r="E34" s="371"/>
      <c r="F34" s="372" t="str">
        <f>IF('INPUT DATA'!M29="","",'INPUT DATA'!M29)</f>
        <v/>
      </c>
      <c r="G34" s="373"/>
      <c r="H34" s="176" t="str">
        <f>IF('INPUT DATA'!N29="","",'INPUT DATA'!N29)</f>
        <v/>
      </c>
      <c r="I34" s="88" t="str">
        <f t="shared" ca="1" si="0"/>
        <v/>
      </c>
      <c r="J34" s="224"/>
      <c r="K34" s="94"/>
      <c r="L34" s="95"/>
      <c r="M34" s="95"/>
      <c r="N34" s="95"/>
      <c r="O34" s="95"/>
      <c r="P34" s="95"/>
      <c r="Q34" s="95"/>
      <c r="R34" s="96"/>
      <c r="S34" s="203"/>
      <c r="T34" s="203"/>
      <c r="U34" s="203"/>
      <c r="V34" s="203"/>
      <c r="W34" s="203"/>
      <c r="X34" s="203"/>
      <c r="Y34" s="203"/>
      <c r="Z34" s="203"/>
      <c r="AA34" s="203"/>
      <c r="AB34" s="203"/>
      <c r="AC34" s="203"/>
    </row>
    <row r="35" spans="1:29" ht="15">
      <c r="A35" s="203"/>
      <c r="B35" s="226">
        <v>20</v>
      </c>
      <c r="C35" s="369" t="str">
        <f>IF('INPUT DATA'!L30="","",'INPUT DATA'!L30)</f>
        <v/>
      </c>
      <c r="D35" s="370"/>
      <c r="E35" s="371"/>
      <c r="F35" s="372" t="str">
        <f>IF('INPUT DATA'!M30="","",'INPUT DATA'!M30)</f>
        <v/>
      </c>
      <c r="G35" s="373"/>
      <c r="H35" s="176" t="str">
        <f>IF('INPUT DATA'!N30="","",'INPUT DATA'!N30)</f>
        <v/>
      </c>
      <c r="I35" s="88" t="str">
        <f t="shared" ca="1" si="0"/>
        <v/>
      </c>
      <c r="J35" s="224"/>
      <c r="K35" s="97"/>
      <c r="L35" s="98"/>
      <c r="M35" s="98"/>
      <c r="N35" s="98"/>
      <c r="O35" s="98"/>
      <c r="P35" s="98"/>
      <c r="Q35" s="98"/>
      <c r="R35" s="99"/>
      <c r="S35" s="203"/>
      <c r="T35" s="203"/>
      <c r="U35" s="203"/>
      <c r="V35" s="203"/>
      <c r="W35" s="203"/>
      <c r="X35" s="203"/>
      <c r="Y35" s="203"/>
      <c r="Z35" s="203"/>
      <c r="AA35" s="203"/>
      <c r="AB35" s="203"/>
      <c r="AC35" s="203"/>
    </row>
    <row r="36" spans="1:29" ht="15">
      <c r="A36" s="203"/>
      <c r="B36" s="226">
        <v>21</v>
      </c>
      <c r="C36" s="369" t="str">
        <f>IF('INPUT DATA'!L31="","",'INPUT DATA'!L31)</f>
        <v/>
      </c>
      <c r="D36" s="370"/>
      <c r="E36" s="371"/>
      <c r="F36" s="372" t="str">
        <f>IF('INPUT DATA'!M31="","",'INPUT DATA'!M31)</f>
        <v/>
      </c>
      <c r="G36" s="373"/>
      <c r="H36" s="176" t="str">
        <f>IF('INPUT DATA'!N31="","",'INPUT DATA'!N31)</f>
        <v/>
      </c>
      <c r="I36" s="88" t="str">
        <f t="shared" ca="1" si="0"/>
        <v/>
      </c>
      <c r="J36" s="224"/>
      <c r="K36" s="94"/>
      <c r="L36" s="95"/>
      <c r="M36" s="95"/>
      <c r="N36" s="95"/>
      <c r="O36" s="95"/>
      <c r="P36" s="95"/>
      <c r="Q36" s="95"/>
      <c r="R36" s="96"/>
      <c r="S36" s="203"/>
      <c r="T36" s="203"/>
      <c r="U36" s="203"/>
      <c r="V36" s="203"/>
      <c r="W36" s="203"/>
      <c r="X36" s="203"/>
      <c r="Y36" s="203"/>
      <c r="Z36" s="203"/>
      <c r="AA36" s="203"/>
      <c r="AB36" s="203"/>
      <c r="AC36" s="203"/>
    </row>
    <row r="37" spans="1:29" ht="15">
      <c r="A37" s="203"/>
      <c r="B37" s="226">
        <v>22</v>
      </c>
      <c r="C37" s="369" t="str">
        <f>IF('INPUT DATA'!L32="","",'INPUT DATA'!L32)</f>
        <v/>
      </c>
      <c r="D37" s="370"/>
      <c r="E37" s="371"/>
      <c r="F37" s="372" t="str">
        <f>IF('INPUT DATA'!M32="","",'INPUT DATA'!M32)</f>
        <v/>
      </c>
      <c r="G37" s="373"/>
      <c r="H37" s="176" t="str">
        <f>IF('INPUT DATA'!N32="","",'INPUT DATA'!N32)</f>
        <v/>
      </c>
      <c r="I37" s="88" t="str">
        <f t="shared" ca="1" si="0"/>
        <v/>
      </c>
      <c r="J37" s="224"/>
      <c r="K37" s="94"/>
      <c r="L37" s="95"/>
      <c r="M37" s="95"/>
      <c r="N37" s="95"/>
      <c r="O37" s="95"/>
      <c r="P37" s="95"/>
      <c r="Q37" s="95"/>
      <c r="R37" s="96"/>
      <c r="S37" s="203"/>
      <c r="T37" s="203"/>
      <c r="U37" s="203"/>
      <c r="V37" s="203"/>
      <c r="W37" s="203"/>
      <c r="X37" s="203"/>
      <c r="Y37" s="203"/>
      <c r="Z37" s="203"/>
      <c r="AA37" s="203"/>
      <c r="AB37" s="203"/>
      <c r="AC37" s="203"/>
    </row>
    <row r="38" spans="1:29" ht="15">
      <c r="A38" s="203"/>
      <c r="B38" s="226">
        <v>23</v>
      </c>
      <c r="C38" s="369" t="str">
        <f>IF('INPUT DATA'!L33="","",'INPUT DATA'!L33)</f>
        <v/>
      </c>
      <c r="D38" s="370"/>
      <c r="E38" s="371"/>
      <c r="F38" s="372" t="str">
        <f>IF('INPUT DATA'!M33="","",'INPUT DATA'!M33)</f>
        <v/>
      </c>
      <c r="G38" s="373"/>
      <c r="H38" s="176" t="str">
        <f>IF('INPUT DATA'!N33="","",'INPUT DATA'!N33)</f>
        <v/>
      </c>
      <c r="I38" s="88" t="str">
        <f t="shared" ca="1" si="0"/>
        <v/>
      </c>
      <c r="J38" s="224"/>
      <c r="K38" s="94"/>
      <c r="L38" s="95"/>
      <c r="M38" s="95"/>
      <c r="N38" s="95"/>
      <c r="O38" s="95"/>
      <c r="P38" s="95"/>
      <c r="Q38" s="95"/>
      <c r="R38" s="96"/>
      <c r="S38" s="203"/>
      <c r="T38" s="203"/>
      <c r="U38" s="203"/>
      <c r="V38" s="203"/>
      <c r="W38" s="203"/>
      <c r="X38" s="203"/>
      <c r="Y38" s="203"/>
      <c r="Z38" s="203"/>
      <c r="AA38" s="203"/>
      <c r="AB38" s="203"/>
      <c r="AC38" s="203"/>
    </row>
    <row r="39" spans="1:29" ht="15">
      <c r="A39" s="203"/>
      <c r="B39" s="226">
        <v>24</v>
      </c>
      <c r="C39" s="369" t="str">
        <f>IF('INPUT DATA'!L34="","",'INPUT DATA'!L34)</f>
        <v/>
      </c>
      <c r="D39" s="370"/>
      <c r="E39" s="371"/>
      <c r="F39" s="372" t="str">
        <f>IF('INPUT DATA'!M34="","",'INPUT DATA'!M34)</f>
        <v/>
      </c>
      <c r="G39" s="373"/>
      <c r="H39" s="176" t="str">
        <f>IF('INPUT DATA'!N34="","",'INPUT DATA'!N34)</f>
        <v/>
      </c>
      <c r="I39" s="88" t="str">
        <f t="shared" ca="1" si="0"/>
        <v/>
      </c>
      <c r="J39" s="224"/>
      <c r="K39" s="94"/>
      <c r="L39" s="95"/>
      <c r="M39" s="95"/>
      <c r="N39" s="95"/>
      <c r="O39" s="95"/>
      <c r="P39" s="95"/>
      <c r="Q39" s="95"/>
      <c r="R39" s="96"/>
      <c r="S39" s="203"/>
      <c r="T39" s="203"/>
      <c r="U39" s="203"/>
      <c r="V39" s="203"/>
      <c r="W39" s="203"/>
      <c r="X39" s="203"/>
      <c r="Y39" s="203"/>
      <c r="Z39" s="203"/>
      <c r="AA39" s="203"/>
      <c r="AB39" s="203"/>
      <c r="AC39" s="203"/>
    </row>
    <row r="40" spans="1:29" ht="15">
      <c r="A40" s="203"/>
      <c r="B40" s="226">
        <v>25</v>
      </c>
      <c r="C40" s="369" t="str">
        <f>IF('INPUT DATA'!L35="","",'INPUT DATA'!L35)</f>
        <v/>
      </c>
      <c r="D40" s="370"/>
      <c r="E40" s="371"/>
      <c r="F40" s="372" t="str">
        <f>IF('INPUT DATA'!M35="","",'INPUT DATA'!M35)</f>
        <v/>
      </c>
      <c r="G40" s="373"/>
      <c r="H40" s="176" t="str">
        <f>IF('INPUT DATA'!N35="","",'INPUT DATA'!N35)</f>
        <v/>
      </c>
      <c r="I40" s="88" t="str">
        <f t="shared" ca="1" si="0"/>
        <v/>
      </c>
      <c r="J40" s="224"/>
      <c r="K40" s="94"/>
      <c r="L40" s="95"/>
      <c r="M40" s="95"/>
      <c r="N40" s="95"/>
      <c r="O40" s="95"/>
      <c r="P40" s="95"/>
      <c r="Q40" s="95"/>
      <c r="R40" s="96"/>
      <c r="S40" s="203"/>
      <c r="T40" s="203"/>
      <c r="U40" s="203"/>
      <c r="V40" s="203"/>
      <c r="W40" s="203"/>
      <c r="X40" s="203"/>
      <c r="Y40" s="203"/>
      <c r="Z40" s="203"/>
      <c r="AA40" s="203"/>
      <c r="AB40" s="203"/>
      <c r="AC40" s="203"/>
    </row>
    <row r="41" spans="1:29" ht="15">
      <c r="A41" s="203"/>
      <c r="B41" s="226">
        <v>26</v>
      </c>
      <c r="C41" s="369" t="str">
        <f>IF('INPUT DATA'!L36="","",'INPUT DATA'!L36)</f>
        <v/>
      </c>
      <c r="D41" s="370"/>
      <c r="E41" s="371"/>
      <c r="F41" s="372" t="str">
        <f>IF('INPUT DATA'!M36="","",'INPUT DATA'!M36)</f>
        <v/>
      </c>
      <c r="G41" s="373"/>
      <c r="H41" s="176" t="str">
        <f>IF('INPUT DATA'!N36="","",'INPUT DATA'!N36)</f>
        <v/>
      </c>
      <c r="I41" s="88" t="str">
        <f t="shared" ca="1" si="0"/>
        <v/>
      </c>
      <c r="J41" s="224"/>
      <c r="K41" s="94"/>
      <c r="L41" s="95"/>
      <c r="M41" s="95"/>
      <c r="N41" s="95"/>
      <c r="O41" s="95"/>
      <c r="P41" s="95"/>
      <c r="Q41" s="95"/>
      <c r="R41" s="96"/>
      <c r="S41" s="203"/>
      <c r="T41" s="203"/>
      <c r="U41" s="203"/>
      <c r="V41" s="203"/>
      <c r="W41" s="203"/>
      <c r="X41" s="203"/>
      <c r="Y41" s="203"/>
      <c r="Z41" s="203"/>
      <c r="AA41" s="203"/>
      <c r="AB41" s="203"/>
      <c r="AC41" s="203"/>
    </row>
    <row r="42" spans="1:29" ht="15">
      <c r="A42" s="203"/>
      <c r="B42" s="226">
        <v>27</v>
      </c>
      <c r="C42" s="369" t="str">
        <f>IF('INPUT DATA'!L37="","",'INPUT DATA'!L37)</f>
        <v/>
      </c>
      <c r="D42" s="370"/>
      <c r="E42" s="371"/>
      <c r="F42" s="372" t="str">
        <f>IF('INPUT DATA'!M37="","",'INPUT DATA'!M37)</f>
        <v/>
      </c>
      <c r="G42" s="373"/>
      <c r="H42" s="176" t="str">
        <f>IF('INPUT DATA'!N37="","",'INPUT DATA'!N37)</f>
        <v/>
      </c>
      <c r="I42" s="88" t="str">
        <f t="shared" ca="1" si="0"/>
        <v/>
      </c>
      <c r="J42" s="224"/>
      <c r="K42" s="94"/>
      <c r="L42" s="95"/>
      <c r="M42" s="95"/>
      <c r="N42" s="95"/>
      <c r="O42" s="95"/>
      <c r="P42" s="95"/>
      <c r="Q42" s="95"/>
      <c r="R42" s="96"/>
      <c r="S42" s="203"/>
      <c r="T42" s="203"/>
      <c r="U42" s="203"/>
      <c r="V42" s="203"/>
      <c r="W42" s="203"/>
      <c r="X42" s="203"/>
      <c r="Y42" s="203"/>
      <c r="Z42" s="203"/>
      <c r="AA42" s="203"/>
      <c r="AB42" s="203"/>
      <c r="AC42" s="203"/>
    </row>
    <row r="43" spans="1:29" ht="15">
      <c r="A43" s="203"/>
      <c r="B43" s="226">
        <v>28</v>
      </c>
      <c r="C43" s="369" t="str">
        <f>IF('INPUT DATA'!L38="","",'INPUT DATA'!L38)</f>
        <v/>
      </c>
      <c r="D43" s="370"/>
      <c r="E43" s="371"/>
      <c r="F43" s="372" t="str">
        <f>IF('INPUT DATA'!M38="","",'INPUT DATA'!M38)</f>
        <v/>
      </c>
      <c r="G43" s="373"/>
      <c r="H43" s="176" t="str">
        <f>IF('INPUT DATA'!N38="","",'INPUT DATA'!N38)</f>
        <v/>
      </c>
      <c r="I43" s="88" t="str">
        <f t="shared" ca="1" si="0"/>
        <v/>
      </c>
      <c r="J43" s="224"/>
      <c r="K43" s="94"/>
      <c r="L43" s="95"/>
      <c r="M43" s="95"/>
      <c r="N43" s="95"/>
      <c r="O43" s="95"/>
      <c r="P43" s="95"/>
      <c r="Q43" s="95"/>
      <c r="R43" s="96"/>
      <c r="S43" s="203"/>
      <c r="T43" s="203"/>
      <c r="U43" s="203"/>
      <c r="V43" s="203"/>
      <c r="W43" s="203"/>
      <c r="X43" s="203"/>
      <c r="Y43" s="203"/>
      <c r="Z43" s="203"/>
      <c r="AA43" s="203"/>
      <c r="AB43" s="203"/>
      <c r="AC43" s="203"/>
    </row>
    <row r="44" spans="1:29" ht="15">
      <c r="A44" s="203"/>
      <c r="B44" s="226">
        <v>29</v>
      </c>
      <c r="C44" s="369" t="str">
        <f>IF('INPUT DATA'!L39="","",'INPUT DATA'!L39)</f>
        <v/>
      </c>
      <c r="D44" s="370"/>
      <c r="E44" s="371"/>
      <c r="F44" s="372" t="str">
        <f>IF('INPUT DATA'!M39="","",'INPUT DATA'!M39)</f>
        <v/>
      </c>
      <c r="G44" s="373"/>
      <c r="H44" s="176" t="str">
        <f>IF('INPUT DATA'!N39="","",'INPUT DATA'!N39)</f>
        <v/>
      </c>
      <c r="I44" s="88" t="str">
        <f t="shared" ca="1" si="0"/>
        <v/>
      </c>
      <c r="J44" s="224"/>
      <c r="K44" s="94"/>
      <c r="L44" s="95"/>
      <c r="M44" s="95"/>
      <c r="N44" s="95"/>
      <c r="O44" s="95"/>
      <c r="P44" s="95"/>
      <c r="Q44" s="95"/>
      <c r="R44" s="96"/>
      <c r="S44" s="203"/>
      <c r="T44" s="203"/>
      <c r="U44" s="203"/>
      <c r="V44" s="203"/>
      <c r="W44" s="203"/>
      <c r="X44" s="203"/>
      <c r="Y44" s="203"/>
      <c r="Z44" s="203"/>
      <c r="AA44" s="203"/>
      <c r="AB44" s="203"/>
      <c r="AC44" s="203"/>
    </row>
    <row r="45" spans="1:29" ht="15">
      <c r="A45" s="203"/>
      <c r="B45" s="226">
        <v>30</v>
      </c>
      <c r="C45" s="369" t="str">
        <f>IF('INPUT DATA'!L40="","",'INPUT DATA'!L40)</f>
        <v/>
      </c>
      <c r="D45" s="370"/>
      <c r="E45" s="371"/>
      <c r="F45" s="372" t="str">
        <f>IF('INPUT DATA'!M40="","",'INPUT DATA'!M40)</f>
        <v/>
      </c>
      <c r="G45" s="373"/>
      <c r="H45" s="176" t="str">
        <f>IF('INPUT DATA'!N40="","",'INPUT DATA'!N40)</f>
        <v/>
      </c>
      <c r="I45" s="88" t="str">
        <f t="shared" ca="1" si="0"/>
        <v/>
      </c>
      <c r="J45" s="224"/>
      <c r="K45" s="94"/>
      <c r="L45" s="95"/>
      <c r="M45" s="95"/>
      <c r="N45" s="95"/>
      <c r="O45" s="95"/>
      <c r="P45" s="95"/>
      <c r="Q45" s="95"/>
      <c r="R45" s="96"/>
      <c r="S45" s="203"/>
      <c r="T45" s="203"/>
      <c r="U45" s="203"/>
      <c r="V45" s="203"/>
      <c r="W45" s="203"/>
      <c r="X45" s="203"/>
      <c r="Y45" s="203"/>
      <c r="Z45" s="203"/>
      <c r="AA45" s="203"/>
      <c r="AB45" s="203"/>
      <c r="AC45" s="203"/>
    </row>
    <row r="46" spans="1:29" ht="15">
      <c r="A46" s="203"/>
      <c r="B46" s="226">
        <v>31</v>
      </c>
      <c r="C46" s="369" t="str">
        <f>IF('INPUT DATA'!L41="","",'INPUT DATA'!L41)</f>
        <v/>
      </c>
      <c r="D46" s="370"/>
      <c r="E46" s="371"/>
      <c r="F46" s="372" t="str">
        <f>IF('INPUT DATA'!M41="","",'INPUT DATA'!M41)</f>
        <v/>
      </c>
      <c r="G46" s="373"/>
      <c r="H46" s="176" t="str">
        <f>IF('INPUT DATA'!N41="","",'INPUT DATA'!N41)</f>
        <v/>
      </c>
      <c r="I46" s="88" t="str">
        <f t="shared" ca="1" si="0"/>
        <v/>
      </c>
      <c r="J46" s="224"/>
      <c r="K46" s="94"/>
      <c r="L46" s="95"/>
      <c r="M46" s="95"/>
      <c r="N46" s="95"/>
      <c r="O46" s="95"/>
      <c r="P46" s="95"/>
      <c r="Q46" s="95"/>
      <c r="R46" s="96"/>
      <c r="S46" s="203"/>
      <c r="T46" s="203"/>
      <c r="U46" s="203"/>
      <c r="V46" s="203"/>
      <c r="W46" s="203"/>
      <c r="X46" s="203"/>
      <c r="Y46" s="203"/>
      <c r="Z46" s="203"/>
      <c r="AA46" s="203"/>
      <c r="AB46" s="203"/>
      <c r="AC46" s="203"/>
    </row>
    <row r="47" spans="1:29" ht="15">
      <c r="A47" s="203"/>
      <c r="B47" s="226">
        <v>32</v>
      </c>
      <c r="C47" s="369" t="str">
        <f>IF('INPUT DATA'!L42="","",'INPUT DATA'!L42)</f>
        <v/>
      </c>
      <c r="D47" s="370"/>
      <c r="E47" s="371"/>
      <c r="F47" s="372" t="str">
        <f>IF('INPUT DATA'!M42="","",'INPUT DATA'!M42)</f>
        <v/>
      </c>
      <c r="G47" s="373"/>
      <c r="H47" s="176" t="str">
        <f>IF('INPUT DATA'!N42="","",'INPUT DATA'!N42)</f>
        <v/>
      </c>
      <c r="I47" s="88" t="str">
        <f t="shared" ca="1" si="0"/>
        <v/>
      </c>
      <c r="J47" s="224"/>
      <c r="K47" s="94"/>
      <c r="L47" s="95"/>
      <c r="M47" s="95"/>
      <c r="N47" s="95"/>
      <c r="O47" s="95"/>
      <c r="P47" s="95"/>
      <c r="Q47" s="95"/>
      <c r="R47" s="96"/>
      <c r="S47" s="203"/>
      <c r="T47" s="203"/>
      <c r="U47" s="203"/>
      <c r="V47" s="203"/>
      <c r="W47" s="203"/>
      <c r="X47" s="203"/>
      <c r="Y47" s="203"/>
      <c r="Z47" s="203"/>
      <c r="AA47" s="203"/>
      <c r="AB47" s="203"/>
      <c r="AC47" s="203"/>
    </row>
    <row r="48" spans="1:29" ht="15">
      <c r="A48" s="203"/>
      <c r="B48" s="226">
        <v>33</v>
      </c>
      <c r="C48" s="369" t="str">
        <f>IF('INPUT DATA'!L43="","",'INPUT DATA'!L43)</f>
        <v/>
      </c>
      <c r="D48" s="370"/>
      <c r="E48" s="371"/>
      <c r="F48" s="372" t="str">
        <f>IF('INPUT DATA'!M43="","",'INPUT DATA'!M43)</f>
        <v/>
      </c>
      <c r="G48" s="373"/>
      <c r="H48" s="176" t="str">
        <f>IF('INPUT DATA'!N43="","",'INPUT DATA'!N43)</f>
        <v/>
      </c>
      <c r="I48" s="88" t="str">
        <f t="shared" ca="1" si="0"/>
        <v/>
      </c>
      <c r="J48" s="224"/>
      <c r="K48" s="94"/>
      <c r="L48" s="95"/>
      <c r="M48" s="95"/>
      <c r="N48" s="95"/>
      <c r="O48" s="95"/>
      <c r="P48" s="95"/>
      <c r="Q48" s="95"/>
      <c r="R48" s="96"/>
      <c r="S48" s="203"/>
      <c r="T48" s="203"/>
      <c r="U48" s="203"/>
      <c r="V48" s="203"/>
      <c r="W48" s="203"/>
      <c r="X48" s="203"/>
      <c r="Y48" s="203"/>
      <c r="Z48" s="203"/>
      <c r="AA48" s="203"/>
      <c r="AB48" s="203"/>
      <c r="AC48" s="203"/>
    </row>
    <row r="49" spans="1:29" ht="15">
      <c r="A49" s="203"/>
      <c r="B49" s="226">
        <v>34</v>
      </c>
      <c r="C49" s="369" t="str">
        <f>IF('INPUT DATA'!L44="","",'INPUT DATA'!L44)</f>
        <v/>
      </c>
      <c r="D49" s="370"/>
      <c r="E49" s="371"/>
      <c r="F49" s="372" t="str">
        <f>IF('INPUT DATA'!M44="","",'INPUT DATA'!M44)</f>
        <v/>
      </c>
      <c r="G49" s="373"/>
      <c r="H49" s="176" t="str">
        <f>IF('INPUT DATA'!N44="","",'INPUT DATA'!N44)</f>
        <v/>
      </c>
      <c r="I49" s="88" t="str">
        <f t="shared" ca="1" si="0"/>
        <v/>
      </c>
      <c r="J49" s="224"/>
      <c r="K49" s="94"/>
      <c r="L49" s="95"/>
      <c r="M49" s="95"/>
      <c r="N49" s="95"/>
      <c r="O49" s="95"/>
      <c r="P49" s="95"/>
      <c r="Q49" s="95"/>
      <c r="R49" s="96"/>
      <c r="S49" s="203"/>
      <c r="T49" s="203"/>
      <c r="U49" s="203"/>
      <c r="V49" s="203"/>
      <c r="W49" s="203"/>
      <c r="X49" s="203"/>
      <c r="Y49" s="203"/>
      <c r="Z49" s="203"/>
      <c r="AA49" s="203"/>
      <c r="AB49" s="203"/>
      <c r="AC49" s="203"/>
    </row>
    <row r="50" spans="1:29" ht="15">
      <c r="A50" s="203"/>
      <c r="B50" s="226">
        <v>35</v>
      </c>
      <c r="C50" s="369" t="str">
        <f>IF('INPUT DATA'!L45="","",'INPUT DATA'!L45)</f>
        <v/>
      </c>
      <c r="D50" s="370"/>
      <c r="E50" s="371"/>
      <c r="F50" s="372" t="str">
        <f>IF('INPUT DATA'!M45="","",'INPUT DATA'!M45)</f>
        <v/>
      </c>
      <c r="G50" s="373"/>
      <c r="H50" s="176" t="str">
        <f>IF('INPUT DATA'!N45="","",'INPUT DATA'!N45)</f>
        <v/>
      </c>
      <c r="I50" s="88" t="str">
        <f t="shared" ca="1" si="0"/>
        <v/>
      </c>
      <c r="J50" s="224"/>
      <c r="K50" s="94"/>
      <c r="L50" s="95"/>
      <c r="M50" s="95"/>
      <c r="N50" s="95"/>
      <c r="O50" s="95"/>
      <c r="P50" s="95"/>
      <c r="Q50" s="95"/>
      <c r="R50" s="96"/>
      <c r="S50" s="203"/>
      <c r="T50" s="203"/>
      <c r="U50" s="203"/>
      <c r="V50" s="203"/>
      <c r="W50" s="203"/>
      <c r="X50" s="203"/>
      <c r="Y50" s="203"/>
      <c r="Z50" s="203"/>
      <c r="AA50" s="203"/>
      <c r="AB50" s="203"/>
      <c r="AC50" s="203"/>
    </row>
    <row r="51" spans="1:29" ht="15">
      <c r="A51" s="203"/>
      <c r="B51" s="226">
        <v>36</v>
      </c>
      <c r="C51" s="369" t="str">
        <f>IF('INPUT DATA'!L46="","",'INPUT DATA'!L46)</f>
        <v/>
      </c>
      <c r="D51" s="370"/>
      <c r="E51" s="371"/>
      <c r="F51" s="372" t="str">
        <f>IF('INPUT DATA'!M46="","",'INPUT DATA'!M46)</f>
        <v/>
      </c>
      <c r="G51" s="373"/>
      <c r="H51" s="176" t="str">
        <f>IF('INPUT DATA'!N46="","",'INPUT DATA'!N46)</f>
        <v/>
      </c>
      <c r="I51" s="88" t="str">
        <f t="shared" ca="1" si="0"/>
        <v/>
      </c>
      <c r="J51" s="224"/>
      <c r="K51" s="94"/>
      <c r="L51" s="95"/>
      <c r="M51" s="95"/>
      <c r="N51" s="95"/>
      <c r="O51" s="95"/>
      <c r="P51" s="95"/>
      <c r="Q51" s="95"/>
      <c r="R51" s="96"/>
      <c r="S51" s="203"/>
      <c r="T51" s="203"/>
      <c r="U51" s="203"/>
      <c r="V51" s="203"/>
      <c r="W51" s="203"/>
      <c r="X51" s="203"/>
      <c r="Y51" s="203"/>
      <c r="Z51" s="203"/>
      <c r="AA51" s="203"/>
      <c r="AB51" s="203"/>
      <c r="AC51" s="203"/>
    </row>
    <row r="52" spans="1:29" ht="15">
      <c r="A52" s="203"/>
      <c r="B52" s="226">
        <v>37</v>
      </c>
      <c r="C52" s="369" t="str">
        <f>IF('INPUT DATA'!L47="","",'INPUT DATA'!L47)</f>
        <v/>
      </c>
      <c r="D52" s="370"/>
      <c r="E52" s="371"/>
      <c r="F52" s="372" t="str">
        <f>IF('INPUT DATA'!M47="","",'INPUT DATA'!M47)</f>
        <v/>
      </c>
      <c r="G52" s="373"/>
      <c r="H52" s="176" t="str">
        <f>IF('INPUT DATA'!N47="","",'INPUT DATA'!N47)</f>
        <v/>
      </c>
      <c r="I52" s="88" t="str">
        <f t="shared" ca="1" si="0"/>
        <v/>
      </c>
      <c r="J52" s="224"/>
      <c r="K52" s="94"/>
      <c r="L52" s="95"/>
      <c r="M52" s="95"/>
      <c r="N52" s="95"/>
      <c r="O52" s="95"/>
      <c r="P52" s="95"/>
      <c r="Q52" s="95"/>
      <c r="R52" s="96"/>
      <c r="S52" s="203"/>
      <c r="T52" s="203"/>
      <c r="U52" s="203"/>
      <c r="V52" s="203"/>
      <c r="W52" s="203"/>
      <c r="X52" s="203"/>
      <c r="Y52" s="203"/>
      <c r="Z52" s="203"/>
      <c r="AA52" s="203"/>
      <c r="AB52" s="203"/>
      <c r="AC52" s="203"/>
    </row>
    <row r="53" spans="1:29" ht="15">
      <c r="A53" s="203"/>
      <c r="B53" s="226">
        <v>38</v>
      </c>
      <c r="C53" s="369" t="str">
        <f>IF('INPUT DATA'!L48="","",'INPUT DATA'!L48)</f>
        <v/>
      </c>
      <c r="D53" s="370"/>
      <c r="E53" s="371"/>
      <c r="F53" s="372" t="str">
        <f>IF('INPUT DATA'!M48="","",'INPUT DATA'!M48)</f>
        <v/>
      </c>
      <c r="G53" s="373"/>
      <c r="H53" s="176" t="str">
        <f>IF('INPUT DATA'!N48="","",'INPUT DATA'!N48)</f>
        <v/>
      </c>
      <c r="I53" s="88" t="str">
        <f t="shared" ca="1" si="0"/>
        <v/>
      </c>
      <c r="J53" s="224"/>
      <c r="K53" s="94"/>
      <c r="L53" s="95"/>
      <c r="M53" s="95"/>
      <c r="N53" s="95"/>
      <c r="O53" s="95"/>
      <c r="P53" s="95"/>
      <c r="Q53" s="95"/>
      <c r="R53" s="96"/>
      <c r="S53" s="203"/>
      <c r="T53" s="203"/>
      <c r="U53" s="203"/>
      <c r="V53" s="203"/>
      <c r="W53" s="203"/>
      <c r="X53" s="203"/>
      <c r="Y53" s="203"/>
      <c r="Z53" s="203"/>
      <c r="AA53" s="203"/>
      <c r="AB53" s="203"/>
      <c r="AC53" s="203"/>
    </row>
    <row r="54" spans="1:29" ht="15">
      <c r="A54" s="203"/>
      <c r="B54" s="226">
        <v>39</v>
      </c>
      <c r="C54" s="369" t="str">
        <f>IF('INPUT DATA'!L49="","",'INPUT DATA'!L49)</f>
        <v/>
      </c>
      <c r="D54" s="370"/>
      <c r="E54" s="371"/>
      <c r="F54" s="372" t="str">
        <f>IF('INPUT DATA'!M49="","",'INPUT DATA'!M49)</f>
        <v/>
      </c>
      <c r="G54" s="373"/>
      <c r="H54" s="176" t="str">
        <f>IF('INPUT DATA'!N49="","",'INPUT DATA'!N49)</f>
        <v/>
      </c>
      <c r="I54" s="88" t="str">
        <f t="shared" ca="1" si="0"/>
        <v/>
      </c>
      <c r="J54" s="224"/>
      <c r="K54" s="94"/>
      <c r="L54" s="95"/>
      <c r="M54" s="95"/>
      <c r="N54" s="95"/>
      <c r="O54" s="95"/>
      <c r="P54" s="95"/>
      <c r="Q54" s="95"/>
      <c r="R54" s="96"/>
      <c r="S54" s="203"/>
      <c r="T54" s="203"/>
      <c r="U54" s="203"/>
      <c r="V54" s="203"/>
      <c r="W54" s="203"/>
      <c r="X54" s="203"/>
      <c r="Y54" s="203"/>
      <c r="Z54" s="203"/>
      <c r="AA54" s="203"/>
      <c r="AB54" s="203"/>
      <c r="AC54" s="203"/>
    </row>
    <row r="55" spans="1:29" ht="15">
      <c r="A55" s="203"/>
      <c r="B55" s="226">
        <v>40</v>
      </c>
      <c r="C55" s="369" t="str">
        <f>IF('INPUT DATA'!L50="","",'INPUT DATA'!L50)</f>
        <v/>
      </c>
      <c r="D55" s="370"/>
      <c r="E55" s="371"/>
      <c r="F55" s="372" t="str">
        <f>IF('INPUT DATA'!M50="","",'INPUT DATA'!M50)</f>
        <v/>
      </c>
      <c r="G55" s="373"/>
      <c r="H55" s="176" t="str">
        <f>IF('INPUT DATA'!N50="","",'INPUT DATA'!N50)</f>
        <v/>
      </c>
      <c r="I55" s="88" t="str">
        <f t="shared" ca="1" si="0"/>
        <v/>
      </c>
      <c r="J55" s="224"/>
      <c r="K55" s="94"/>
      <c r="L55" s="95"/>
      <c r="M55" s="95"/>
      <c r="N55" s="95"/>
      <c r="O55" s="95"/>
      <c r="P55" s="95"/>
      <c r="Q55" s="95"/>
      <c r="R55" s="96"/>
      <c r="S55" s="203"/>
      <c r="T55" s="203"/>
      <c r="U55" s="203"/>
      <c r="V55" s="203"/>
      <c r="W55" s="203"/>
      <c r="X55" s="203"/>
      <c r="Y55" s="203"/>
      <c r="Z55" s="203"/>
      <c r="AA55" s="203"/>
      <c r="AB55" s="203"/>
      <c r="AC55" s="203"/>
    </row>
    <row r="56" spans="1:29" ht="15">
      <c r="A56" s="203"/>
      <c r="B56" s="226">
        <v>41</v>
      </c>
      <c r="C56" s="369" t="str">
        <f>IF('INPUT DATA'!L51="","",'INPUT DATA'!L51)</f>
        <v/>
      </c>
      <c r="D56" s="370"/>
      <c r="E56" s="371"/>
      <c r="F56" s="372" t="str">
        <f>IF('INPUT DATA'!M51="","",'INPUT DATA'!M51)</f>
        <v/>
      </c>
      <c r="G56" s="373"/>
      <c r="H56" s="176" t="str">
        <f>IF('INPUT DATA'!N51="","",'INPUT DATA'!N51)</f>
        <v/>
      </c>
      <c r="I56" s="88" t="str">
        <f t="shared" ca="1" si="0"/>
        <v/>
      </c>
      <c r="J56" s="224"/>
      <c r="K56" s="94"/>
      <c r="L56" s="95"/>
      <c r="M56" s="95"/>
      <c r="N56" s="95"/>
      <c r="O56" s="95"/>
      <c r="P56" s="95"/>
      <c r="Q56" s="95"/>
      <c r="R56" s="96"/>
      <c r="S56" s="203"/>
      <c r="T56" s="203"/>
      <c r="U56" s="203"/>
      <c r="V56" s="203"/>
      <c r="W56" s="203"/>
      <c r="X56" s="203"/>
      <c r="Y56" s="203"/>
      <c r="Z56" s="203"/>
      <c r="AA56" s="203"/>
      <c r="AB56" s="203"/>
      <c r="AC56" s="203"/>
    </row>
    <row r="57" spans="1:29" ht="15">
      <c r="A57" s="203"/>
      <c r="B57" s="226">
        <v>42</v>
      </c>
      <c r="C57" s="369" t="str">
        <f>IF('INPUT DATA'!L52="","",'INPUT DATA'!L52)</f>
        <v/>
      </c>
      <c r="D57" s="370"/>
      <c r="E57" s="371"/>
      <c r="F57" s="372" t="str">
        <f>IF('INPUT DATA'!M52="","",'INPUT DATA'!M52)</f>
        <v/>
      </c>
      <c r="G57" s="373"/>
      <c r="H57" s="176" t="str">
        <f>IF('INPUT DATA'!N52="","",'INPUT DATA'!N52)</f>
        <v/>
      </c>
      <c r="I57" s="88" t="str">
        <f t="shared" ca="1" si="0"/>
        <v/>
      </c>
      <c r="J57" s="224"/>
      <c r="K57" s="94"/>
      <c r="L57" s="95"/>
      <c r="M57" s="95"/>
      <c r="N57" s="95"/>
      <c r="O57" s="95"/>
      <c r="P57" s="95"/>
      <c r="Q57" s="95"/>
      <c r="R57" s="96"/>
      <c r="S57" s="203"/>
      <c r="T57" s="203"/>
      <c r="U57" s="203"/>
      <c r="V57" s="203"/>
      <c r="W57" s="203"/>
      <c r="X57" s="203"/>
      <c r="Y57" s="203"/>
      <c r="Z57" s="203"/>
      <c r="AA57" s="203"/>
      <c r="AB57" s="203"/>
      <c r="AC57" s="203"/>
    </row>
    <row r="58" spans="1:29" ht="15">
      <c r="A58" s="203"/>
      <c r="B58" s="226">
        <v>43</v>
      </c>
      <c r="C58" s="369" t="str">
        <f>IF('INPUT DATA'!L53="","",'INPUT DATA'!L53)</f>
        <v/>
      </c>
      <c r="D58" s="370"/>
      <c r="E58" s="371"/>
      <c r="F58" s="372" t="str">
        <f>IF('INPUT DATA'!M53="","",'INPUT DATA'!M53)</f>
        <v/>
      </c>
      <c r="G58" s="373"/>
      <c r="H58" s="176" t="str">
        <f>IF('INPUT DATA'!N53="","",'INPUT DATA'!N53)</f>
        <v/>
      </c>
      <c r="I58" s="88" t="str">
        <f t="shared" ca="1" si="0"/>
        <v/>
      </c>
      <c r="J58" s="224"/>
      <c r="K58" s="94"/>
      <c r="L58" s="95"/>
      <c r="M58" s="95"/>
      <c r="N58" s="95"/>
      <c r="O58" s="95"/>
      <c r="P58" s="95"/>
      <c r="Q58" s="95"/>
      <c r="R58" s="96"/>
      <c r="S58" s="203"/>
      <c r="T58" s="203"/>
      <c r="U58" s="203"/>
      <c r="V58" s="203"/>
      <c r="W58" s="203"/>
      <c r="X58" s="203"/>
      <c r="Y58" s="203"/>
      <c r="Z58" s="203"/>
      <c r="AA58" s="203"/>
      <c r="AB58" s="203"/>
      <c r="AC58" s="203"/>
    </row>
    <row r="59" spans="1:29" ht="15">
      <c r="A59" s="203"/>
      <c r="B59" s="226">
        <v>44</v>
      </c>
      <c r="C59" s="369" t="str">
        <f>IF('INPUT DATA'!L54="","",'INPUT DATA'!L54)</f>
        <v/>
      </c>
      <c r="D59" s="370"/>
      <c r="E59" s="371"/>
      <c r="F59" s="372" t="str">
        <f>IF('INPUT DATA'!M54="","",'INPUT DATA'!M54)</f>
        <v/>
      </c>
      <c r="G59" s="373"/>
      <c r="H59" s="176" t="str">
        <f>IF('INPUT DATA'!N54="","",'INPUT DATA'!N54)</f>
        <v/>
      </c>
      <c r="I59" s="88" t="str">
        <f t="shared" ca="1" si="0"/>
        <v/>
      </c>
      <c r="J59" s="224"/>
      <c r="K59" s="94"/>
      <c r="L59" s="95"/>
      <c r="M59" s="95"/>
      <c r="N59" s="95"/>
      <c r="O59" s="95"/>
      <c r="P59" s="95"/>
      <c r="Q59" s="95"/>
      <c r="R59" s="96"/>
      <c r="S59" s="203"/>
      <c r="T59" s="203"/>
      <c r="U59" s="203"/>
      <c r="V59" s="203"/>
      <c r="W59" s="203"/>
      <c r="X59" s="203"/>
      <c r="Y59" s="203"/>
      <c r="Z59" s="203"/>
      <c r="AA59" s="203"/>
      <c r="AB59" s="203"/>
      <c r="AC59" s="203"/>
    </row>
    <row r="60" spans="1:29" ht="15">
      <c r="A60" s="203"/>
      <c r="B60" s="226">
        <v>45</v>
      </c>
      <c r="C60" s="369" t="str">
        <f>IF('INPUT DATA'!L55="","",'INPUT DATA'!L55)</f>
        <v/>
      </c>
      <c r="D60" s="370"/>
      <c r="E60" s="371"/>
      <c r="F60" s="372" t="str">
        <f>IF('INPUT DATA'!M55="","",'INPUT DATA'!M55)</f>
        <v/>
      </c>
      <c r="G60" s="373"/>
      <c r="H60" s="176" t="str">
        <f>IF('INPUT DATA'!N55="","",'INPUT DATA'!N55)</f>
        <v/>
      </c>
      <c r="I60" s="88" t="str">
        <f t="shared" ca="1" si="0"/>
        <v/>
      </c>
      <c r="J60" s="224"/>
      <c r="K60" s="97"/>
      <c r="L60" s="98"/>
      <c r="M60" s="98"/>
      <c r="N60" s="98"/>
      <c r="O60" s="98"/>
      <c r="P60" s="98"/>
      <c r="Q60" s="98"/>
      <c r="R60" s="99"/>
      <c r="S60" s="203"/>
      <c r="T60" s="203"/>
      <c r="U60" s="203"/>
      <c r="V60" s="203"/>
      <c r="W60" s="203"/>
      <c r="X60" s="203"/>
      <c r="Y60" s="203"/>
      <c r="Z60" s="203"/>
      <c r="AA60" s="203"/>
      <c r="AB60" s="203"/>
      <c r="AC60" s="203"/>
    </row>
    <row r="61" spans="1:29" ht="15">
      <c r="A61" s="203"/>
      <c r="B61" s="226">
        <v>46</v>
      </c>
      <c r="C61" s="369" t="str">
        <f>IF('INPUT DATA'!L56="","",'INPUT DATA'!L56)</f>
        <v/>
      </c>
      <c r="D61" s="370"/>
      <c r="E61" s="371"/>
      <c r="F61" s="372" t="str">
        <f>IF('INPUT DATA'!M56="","",'INPUT DATA'!M56)</f>
        <v/>
      </c>
      <c r="G61" s="373"/>
      <c r="H61" s="176" t="str">
        <f>IF('INPUT DATA'!N56="","",'INPUT DATA'!N56)</f>
        <v/>
      </c>
      <c r="I61" s="88" t="str">
        <f t="shared" ca="1" si="0"/>
        <v/>
      </c>
      <c r="J61" s="224"/>
      <c r="K61" s="94"/>
      <c r="L61" s="95"/>
      <c r="M61" s="95"/>
      <c r="N61" s="95"/>
      <c r="O61" s="95"/>
      <c r="P61" s="95"/>
      <c r="Q61" s="95"/>
      <c r="R61" s="96"/>
      <c r="S61" s="203"/>
      <c r="T61" s="203"/>
      <c r="U61" s="203"/>
      <c r="V61" s="203"/>
      <c r="W61" s="203"/>
      <c r="X61" s="203"/>
      <c r="Y61" s="203"/>
      <c r="Z61" s="203"/>
      <c r="AA61" s="203"/>
      <c r="AB61" s="203"/>
      <c r="AC61" s="203"/>
    </row>
    <row r="62" spans="1:29" ht="15">
      <c r="A62" s="203"/>
      <c r="B62" s="226">
        <v>47</v>
      </c>
      <c r="C62" s="369" t="str">
        <f>IF('INPUT DATA'!L57="","",'INPUT DATA'!L57)</f>
        <v/>
      </c>
      <c r="D62" s="370"/>
      <c r="E62" s="371"/>
      <c r="F62" s="372" t="str">
        <f>IF('INPUT DATA'!M57="","",'INPUT DATA'!M57)</f>
        <v/>
      </c>
      <c r="G62" s="373"/>
      <c r="H62" s="176" t="str">
        <f>IF('INPUT DATA'!N57="","",'INPUT DATA'!N57)</f>
        <v/>
      </c>
      <c r="I62" s="88" t="str">
        <f t="shared" ca="1" si="0"/>
        <v/>
      </c>
      <c r="J62" s="224"/>
      <c r="K62" s="94"/>
      <c r="L62" s="95"/>
      <c r="M62" s="95"/>
      <c r="N62" s="95"/>
      <c r="O62" s="95"/>
      <c r="P62" s="95"/>
      <c r="Q62" s="95"/>
      <c r="R62" s="96"/>
      <c r="S62" s="203"/>
      <c r="T62" s="203"/>
      <c r="U62" s="203"/>
      <c r="V62" s="203"/>
      <c r="W62" s="203"/>
      <c r="X62" s="203"/>
      <c r="Y62" s="203"/>
      <c r="Z62" s="203"/>
      <c r="AA62" s="203"/>
      <c r="AB62" s="203"/>
      <c r="AC62" s="203"/>
    </row>
    <row r="63" spans="1:29" ht="15">
      <c r="A63" s="203"/>
      <c r="B63" s="226">
        <v>48</v>
      </c>
      <c r="C63" s="369" t="str">
        <f>IF('INPUT DATA'!L58="","",'INPUT DATA'!L58)</f>
        <v/>
      </c>
      <c r="D63" s="370"/>
      <c r="E63" s="371"/>
      <c r="F63" s="372" t="str">
        <f>IF('INPUT DATA'!M58="","",'INPUT DATA'!M58)</f>
        <v/>
      </c>
      <c r="G63" s="373"/>
      <c r="H63" s="176" t="str">
        <f>IF('INPUT DATA'!N58="","",'INPUT DATA'!N58)</f>
        <v/>
      </c>
      <c r="I63" s="88" t="str">
        <f t="shared" ca="1" si="0"/>
        <v/>
      </c>
      <c r="J63" s="224"/>
      <c r="K63" s="94"/>
      <c r="L63" s="95"/>
      <c r="M63" s="95"/>
      <c r="N63" s="95"/>
      <c r="O63" s="95"/>
      <c r="P63" s="95"/>
      <c r="Q63" s="95"/>
      <c r="R63" s="96"/>
      <c r="S63" s="203"/>
      <c r="T63" s="203"/>
      <c r="U63" s="203"/>
      <c r="V63" s="203"/>
      <c r="W63" s="203"/>
      <c r="X63" s="203"/>
      <c r="Y63" s="203"/>
      <c r="Z63" s="203"/>
      <c r="AA63" s="203"/>
      <c r="AB63" s="203"/>
      <c r="AC63" s="203"/>
    </row>
    <row r="64" spans="1:29" ht="15">
      <c r="A64" s="203"/>
      <c r="B64" s="226">
        <v>49</v>
      </c>
      <c r="C64" s="369" t="str">
        <f>IF('INPUT DATA'!L59="","",'INPUT DATA'!L59)</f>
        <v/>
      </c>
      <c r="D64" s="370"/>
      <c r="E64" s="371"/>
      <c r="F64" s="372" t="str">
        <f>IF('INPUT DATA'!M59="","",'INPUT DATA'!M59)</f>
        <v/>
      </c>
      <c r="G64" s="373"/>
      <c r="H64" s="176" t="str">
        <f>IF('INPUT DATA'!N59="","",'INPUT DATA'!N59)</f>
        <v/>
      </c>
      <c r="I64" s="88" t="str">
        <f t="shared" ca="1" si="0"/>
        <v/>
      </c>
      <c r="J64" s="224"/>
      <c r="K64" s="94"/>
      <c r="L64" s="95"/>
      <c r="M64" s="95"/>
      <c r="N64" s="95"/>
      <c r="O64" s="95"/>
      <c r="P64" s="95"/>
      <c r="Q64" s="95"/>
      <c r="R64" s="96"/>
      <c r="S64" s="203"/>
      <c r="T64" s="203"/>
      <c r="U64" s="203"/>
      <c r="V64" s="203"/>
      <c r="W64" s="203"/>
      <c r="X64" s="203"/>
      <c r="Y64" s="203"/>
      <c r="Z64" s="203"/>
      <c r="AA64" s="203"/>
      <c r="AB64" s="203"/>
      <c r="AC64" s="203"/>
    </row>
    <row r="65" spans="1:29" ht="15.6" thickBot="1">
      <c r="A65" s="203"/>
      <c r="B65" s="227">
        <v>50</v>
      </c>
      <c r="C65" s="443" t="str">
        <f>IF('INPUT DATA'!L60="","",'INPUT DATA'!L60)</f>
        <v/>
      </c>
      <c r="D65" s="444"/>
      <c r="E65" s="445"/>
      <c r="F65" s="446" t="str">
        <f>IF('INPUT DATA'!M60="","",'INPUT DATA'!M60)</f>
        <v/>
      </c>
      <c r="G65" s="447"/>
      <c r="H65" s="177" t="str">
        <f>IF('INPUT DATA'!N60="","",'INPUT DATA'!N60)</f>
        <v/>
      </c>
      <c r="I65" s="88" t="str">
        <f t="shared" ca="1" si="0"/>
        <v/>
      </c>
      <c r="J65" s="228"/>
      <c r="K65" s="100"/>
      <c r="L65" s="101"/>
      <c r="M65" s="101"/>
      <c r="N65" s="101"/>
      <c r="O65" s="101"/>
      <c r="P65" s="101"/>
      <c r="Q65" s="101"/>
      <c r="R65" s="102"/>
      <c r="S65" s="203"/>
      <c r="T65" s="203"/>
      <c r="U65" s="203"/>
      <c r="V65" s="203"/>
      <c r="W65" s="203"/>
      <c r="X65" s="203"/>
      <c r="Y65" s="203"/>
      <c r="Z65" s="203"/>
      <c r="AA65" s="203"/>
      <c r="AB65" s="203"/>
      <c r="AC65" s="203"/>
    </row>
    <row r="66" spans="1:29" ht="16.2" thickBot="1">
      <c r="A66" s="203"/>
      <c r="B66" s="230" t="s">
        <v>13</v>
      </c>
      <c r="C66" s="231"/>
      <c r="D66" s="231"/>
      <c r="E66" s="231"/>
      <c r="F66" s="231"/>
      <c r="G66" s="231"/>
      <c r="H66" s="231"/>
      <c r="I66" s="233"/>
      <c r="J66" s="232"/>
      <c r="K66" s="233"/>
      <c r="L66" s="233"/>
      <c r="M66" s="233"/>
      <c r="N66" s="233"/>
      <c r="O66" s="233"/>
      <c r="P66" s="233"/>
      <c r="Q66" s="233"/>
      <c r="R66" s="234"/>
      <c r="S66" s="203"/>
      <c r="T66" s="203"/>
      <c r="U66" s="203"/>
      <c r="V66" s="203"/>
      <c r="W66" s="203"/>
      <c r="X66" s="203"/>
      <c r="Y66" s="203"/>
      <c r="Z66" s="203"/>
      <c r="AA66" s="203"/>
      <c r="AB66" s="203"/>
      <c r="AC66" s="203"/>
    </row>
    <row r="67" spans="1:29" ht="15">
      <c r="A67" s="203"/>
      <c r="B67" s="220">
        <v>1</v>
      </c>
      <c r="C67" s="435" t="str">
        <f>IF('INPUT DATA'!Q11="","",'INPUT DATA'!Q11)</f>
        <v/>
      </c>
      <c r="D67" s="436"/>
      <c r="E67" s="437"/>
      <c r="F67" s="438" t="str">
        <f>IF('INPUT DATA'!T11="","",'INPUT DATA'!T11)</f>
        <v/>
      </c>
      <c r="G67" s="439"/>
      <c r="H67" s="178" t="str">
        <f>IF('INPUT DATA'!S11="","",'INPUT DATA'!S11)</f>
        <v/>
      </c>
      <c r="I67" s="38" t="str">
        <f ca="1">IF(H67="","",DATEDIF(H67,TODAY(),"Y"))</f>
        <v/>
      </c>
      <c r="J67" s="235" t="s">
        <v>101</v>
      </c>
      <c r="K67" s="91"/>
      <c r="L67" s="92"/>
      <c r="M67" s="92"/>
      <c r="N67" s="92"/>
      <c r="O67" s="92"/>
      <c r="P67" s="92"/>
      <c r="Q67" s="92"/>
      <c r="R67" s="93"/>
      <c r="S67" s="203"/>
      <c r="T67" s="203"/>
      <c r="U67" s="203"/>
      <c r="V67" s="203"/>
      <c r="W67" s="203"/>
      <c r="X67" s="203"/>
      <c r="Y67" s="203"/>
      <c r="Z67" s="203"/>
      <c r="AA67" s="203"/>
      <c r="AB67" s="203"/>
      <c r="AC67" s="203"/>
    </row>
    <row r="68" spans="1:29" ht="15">
      <c r="A68" s="203"/>
      <c r="B68" s="223">
        <v>2</v>
      </c>
      <c r="C68" s="440" t="str">
        <f>IF('INPUT DATA'!Q12="","",'INPUT DATA'!Q12)</f>
        <v/>
      </c>
      <c r="D68" s="441"/>
      <c r="E68" s="442"/>
      <c r="F68" s="438" t="str">
        <f>IF('INPUT DATA'!T12="","",'INPUT DATA'!T12)</f>
        <v/>
      </c>
      <c r="G68" s="439"/>
      <c r="H68" s="179" t="str">
        <f>IF('INPUT DATA'!S12="","",'INPUT DATA'!S12)</f>
        <v/>
      </c>
      <c r="I68" s="88" t="str">
        <f ca="1">IF(H68="","",DATEDIF(H68,TODAY(),"Y"))</f>
        <v/>
      </c>
      <c r="J68" s="236" t="s">
        <v>101</v>
      </c>
      <c r="K68" s="94"/>
      <c r="L68" s="95"/>
      <c r="M68" s="95"/>
      <c r="N68" s="95"/>
      <c r="O68" s="95"/>
      <c r="P68" s="95"/>
      <c r="Q68" s="95"/>
      <c r="R68" s="96"/>
      <c r="S68" s="203"/>
      <c r="T68" s="203"/>
      <c r="U68" s="203"/>
      <c r="V68" s="203"/>
      <c r="W68" s="203"/>
      <c r="X68" s="203"/>
      <c r="Y68" s="203"/>
      <c r="Z68" s="203"/>
      <c r="AA68" s="203"/>
      <c r="AB68" s="203"/>
      <c r="AC68" s="203"/>
    </row>
    <row r="69" spans="1:29" ht="15">
      <c r="A69" s="203"/>
      <c r="B69" s="223">
        <v>3</v>
      </c>
      <c r="C69" s="440" t="str">
        <f>IF('INPUT DATA'!Q13="","",'INPUT DATA'!Q13)</f>
        <v/>
      </c>
      <c r="D69" s="441"/>
      <c r="E69" s="442"/>
      <c r="F69" s="438" t="str">
        <f>IF('INPUT DATA'!T13="","",'INPUT DATA'!T13)</f>
        <v/>
      </c>
      <c r="G69" s="439"/>
      <c r="H69" s="179" t="str">
        <f>IF('INPUT DATA'!S13="","",'INPUT DATA'!S13)</f>
        <v/>
      </c>
      <c r="I69" s="88" t="str">
        <f t="shared" ref="I69:I116" ca="1" si="1">IF(H69="","",DATEDIF(H69,TODAY(),"Y"))</f>
        <v/>
      </c>
      <c r="J69" s="236" t="s">
        <v>101</v>
      </c>
      <c r="K69" s="94"/>
      <c r="L69" s="95"/>
      <c r="M69" s="95"/>
      <c r="N69" s="95"/>
      <c r="O69" s="95"/>
      <c r="P69" s="95"/>
      <c r="Q69" s="95"/>
      <c r="R69" s="96"/>
      <c r="S69" s="203"/>
      <c r="T69" s="203"/>
      <c r="U69" s="203"/>
      <c r="V69" s="203"/>
      <c r="W69" s="203"/>
      <c r="X69" s="203"/>
      <c r="Y69" s="203"/>
      <c r="Z69" s="203"/>
      <c r="AA69" s="203"/>
      <c r="AB69" s="203"/>
      <c r="AC69" s="203"/>
    </row>
    <row r="70" spans="1:29" ht="15">
      <c r="A70" s="203"/>
      <c r="B70" s="223">
        <v>4</v>
      </c>
      <c r="C70" s="440" t="str">
        <f>IF('INPUT DATA'!Q14="","",'INPUT DATA'!Q14)</f>
        <v/>
      </c>
      <c r="D70" s="441"/>
      <c r="E70" s="442"/>
      <c r="F70" s="438" t="str">
        <f>IF('INPUT DATA'!T14="","",'INPUT DATA'!T14)</f>
        <v/>
      </c>
      <c r="G70" s="439"/>
      <c r="H70" s="179" t="str">
        <f>IF('INPUT DATA'!S14="","",'INPUT DATA'!S14)</f>
        <v/>
      </c>
      <c r="I70" s="88" t="str">
        <f t="shared" ca="1" si="1"/>
        <v/>
      </c>
      <c r="J70" s="224"/>
      <c r="K70" s="94"/>
      <c r="L70" s="95"/>
      <c r="M70" s="95"/>
      <c r="N70" s="95"/>
      <c r="O70" s="95"/>
      <c r="P70" s="95"/>
      <c r="Q70" s="103"/>
      <c r="R70" s="96"/>
      <c r="S70" s="203"/>
      <c r="T70" s="203"/>
      <c r="U70" s="203"/>
      <c r="V70" s="203"/>
      <c r="W70" s="203"/>
      <c r="X70" s="203"/>
      <c r="Y70" s="203"/>
      <c r="Z70" s="203"/>
      <c r="AA70" s="203"/>
      <c r="AB70" s="203"/>
      <c r="AC70" s="203"/>
    </row>
    <row r="71" spans="1:29" ht="15">
      <c r="A71" s="203"/>
      <c r="B71" s="223">
        <v>5</v>
      </c>
      <c r="C71" s="440" t="str">
        <f>IF('INPUT DATA'!Q15="","",'INPUT DATA'!Q15)</f>
        <v/>
      </c>
      <c r="D71" s="441"/>
      <c r="E71" s="442"/>
      <c r="F71" s="438" t="str">
        <f>IF('INPUT DATA'!T15="","",'INPUT DATA'!T15)</f>
        <v/>
      </c>
      <c r="G71" s="439"/>
      <c r="H71" s="179" t="str">
        <f>IF('INPUT DATA'!S15="","",'INPUT DATA'!S15)</f>
        <v/>
      </c>
      <c r="I71" s="88" t="str">
        <f t="shared" ca="1" si="1"/>
        <v/>
      </c>
      <c r="J71" s="224"/>
      <c r="K71" s="94"/>
      <c r="L71" s="95"/>
      <c r="M71" s="95"/>
      <c r="N71" s="95"/>
      <c r="O71" s="95"/>
      <c r="P71" s="95"/>
      <c r="Q71" s="103"/>
      <c r="R71" s="96"/>
      <c r="S71" s="203"/>
      <c r="T71" s="203"/>
      <c r="U71" s="203"/>
      <c r="V71" s="203"/>
      <c r="W71" s="203"/>
      <c r="X71" s="203"/>
      <c r="Y71" s="203"/>
      <c r="Z71" s="203"/>
      <c r="AA71" s="203"/>
      <c r="AB71" s="203"/>
      <c r="AC71" s="203"/>
    </row>
    <row r="72" spans="1:29" ht="15">
      <c r="A72" s="203"/>
      <c r="B72" s="223">
        <v>6</v>
      </c>
      <c r="C72" s="440" t="str">
        <f>IF('INPUT DATA'!Q16="","",'INPUT DATA'!Q16)</f>
        <v/>
      </c>
      <c r="D72" s="441"/>
      <c r="E72" s="442"/>
      <c r="F72" s="438" t="str">
        <f>IF('INPUT DATA'!T16="","",'INPUT DATA'!T16)</f>
        <v/>
      </c>
      <c r="G72" s="439"/>
      <c r="H72" s="179" t="str">
        <f>IF('INPUT DATA'!S16="","",'INPUT DATA'!S16)</f>
        <v/>
      </c>
      <c r="I72" s="88" t="str">
        <f t="shared" ca="1" si="1"/>
        <v/>
      </c>
      <c r="J72" s="224"/>
      <c r="K72" s="94"/>
      <c r="L72" s="95"/>
      <c r="M72" s="95"/>
      <c r="N72" s="95"/>
      <c r="O72" s="95"/>
      <c r="P72" s="95"/>
      <c r="Q72" s="103"/>
      <c r="R72" s="96"/>
      <c r="S72" s="203"/>
      <c r="T72" s="203"/>
      <c r="U72" s="203"/>
      <c r="V72" s="203"/>
      <c r="W72" s="203"/>
      <c r="X72" s="203"/>
      <c r="Y72" s="203"/>
      <c r="Z72" s="203"/>
      <c r="AA72" s="203"/>
      <c r="AB72" s="203"/>
      <c r="AC72" s="203"/>
    </row>
    <row r="73" spans="1:29" ht="15">
      <c r="A73" s="203"/>
      <c r="B73" s="223">
        <v>7</v>
      </c>
      <c r="C73" s="440" t="str">
        <f>IF('INPUT DATA'!Q17="","",'INPUT DATA'!Q17)</f>
        <v/>
      </c>
      <c r="D73" s="441"/>
      <c r="E73" s="442"/>
      <c r="F73" s="438" t="str">
        <f>IF('INPUT DATA'!T17="","",'INPUT DATA'!T17)</f>
        <v/>
      </c>
      <c r="G73" s="439"/>
      <c r="H73" s="179" t="str">
        <f>IF('INPUT DATA'!S17="","",'INPUT DATA'!S17)</f>
        <v/>
      </c>
      <c r="I73" s="88" t="str">
        <f t="shared" ca="1" si="1"/>
        <v/>
      </c>
      <c r="J73" s="224"/>
      <c r="K73" s="94"/>
      <c r="L73" s="95"/>
      <c r="M73" s="95"/>
      <c r="N73" s="95"/>
      <c r="O73" s="95"/>
      <c r="P73" s="95"/>
      <c r="Q73" s="103"/>
      <c r="R73" s="96"/>
      <c r="S73" s="203"/>
      <c r="T73" s="203"/>
      <c r="U73" s="203"/>
      <c r="V73" s="203"/>
      <c r="W73" s="203"/>
      <c r="X73" s="203"/>
      <c r="Y73" s="203"/>
      <c r="Z73" s="203"/>
      <c r="AA73" s="203"/>
      <c r="AB73" s="203"/>
      <c r="AC73" s="203"/>
    </row>
    <row r="74" spans="1:29" ht="15">
      <c r="A74" s="203"/>
      <c r="B74" s="223">
        <v>8</v>
      </c>
      <c r="C74" s="440" t="str">
        <f>IF('INPUT DATA'!Q18="","",'INPUT DATA'!Q18)</f>
        <v/>
      </c>
      <c r="D74" s="441"/>
      <c r="E74" s="442"/>
      <c r="F74" s="438" t="str">
        <f>IF('INPUT DATA'!T18="","",'INPUT DATA'!T18)</f>
        <v/>
      </c>
      <c r="G74" s="439"/>
      <c r="H74" s="179" t="str">
        <f>IF('INPUT DATA'!S18="","",'INPUT DATA'!S18)</f>
        <v/>
      </c>
      <c r="I74" s="88" t="str">
        <f t="shared" ca="1" si="1"/>
        <v/>
      </c>
      <c r="J74" s="224"/>
      <c r="K74" s="94"/>
      <c r="L74" s="95"/>
      <c r="M74" s="95"/>
      <c r="N74" s="95"/>
      <c r="O74" s="95"/>
      <c r="P74" s="95"/>
      <c r="Q74" s="103"/>
      <c r="R74" s="96"/>
      <c r="S74" s="203"/>
      <c r="T74" s="203"/>
      <c r="U74" s="203"/>
      <c r="V74" s="203"/>
      <c r="W74" s="203"/>
      <c r="X74" s="203"/>
      <c r="Y74" s="203"/>
      <c r="Z74" s="203"/>
      <c r="AA74" s="203"/>
      <c r="AB74" s="203"/>
      <c r="AC74" s="203"/>
    </row>
    <row r="75" spans="1:29" ht="15">
      <c r="A75" s="203"/>
      <c r="B75" s="223">
        <v>9</v>
      </c>
      <c r="C75" s="440" t="str">
        <f>IF('INPUT DATA'!Q19="","",'INPUT DATA'!Q19)</f>
        <v/>
      </c>
      <c r="D75" s="441"/>
      <c r="E75" s="442"/>
      <c r="F75" s="438" t="str">
        <f>IF('INPUT DATA'!T19="","",'INPUT DATA'!T19)</f>
        <v/>
      </c>
      <c r="G75" s="439"/>
      <c r="H75" s="179" t="str">
        <f>IF('INPUT DATA'!S19="","",'INPUT DATA'!S19)</f>
        <v/>
      </c>
      <c r="I75" s="88" t="str">
        <f t="shared" ca="1" si="1"/>
        <v/>
      </c>
      <c r="J75" s="224"/>
      <c r="K75" s="94"/>
      <c r="L75" s="95"/>
      <c r="M75" s="95"/>
      <c r="N75" s="95"/>
      <c r="O75" s="95"/>
      <c r="P75" s="95"/>
      <c r="Q75" s="103"/>
      <c r="R75" s="96"/>
      <c r="S75" s="203"/>
      <c r="T75" s="203"/>
      <c r="U75" s="203"/>
      <c r="V75" s="203"/>
      <c r="W75" s="203"/>
      <c r="X75" s="203"/>
      <c r="Y75" s="203"/>
      <c r="Z75" s="203"/>
      <c r="AA75" s="203"/>
      <c r="AB75" s="203"/>
      <c r="AC75" s="203"/>
    </row>
    <row r="76" spans="1:29" ht="15">
      <c r="A76" s="203"/>
      <c r="B76" s="223">
        <v>10</v>
      </c>
      <c r="C76" s="440" t="str">
        <f>IF('INPUT DATA'!Q20="","",'INPUT DATA'!Q20)</f>
        <v/>
      </c>
      <c r="D76" s="441"/>
      <c r="E76" s="442"/>
      <c r="F76" s="438" t="str">
        <f>IF('INPUT DATA'!T20="","",'INPUT DATA'!T20)</f>
        <v/>
      </c>
      <c r="G76" s="439"/>
      <c r="H76" s="179" t="str">
        <f>IF('INPUT DATA'!S20="","",'INPUT DATA'!S20)</f>
        <v/>
      </c>
      <c r="I76" s="88" t="str">
        <f t="shared" ca="1" si="1"/>
        <v/>
      </c>
      <c r="J76" s="224"/>
      <c r="K76" s="94"/>
      <c r="L76" s="95"/>
      <c r="M76" s="95"/>
      <c r="N76" s="95"/>
      <c r="O76" s="95"/>
      <c r="P76" s="95"/>
      <c r="Q76" s="103"/>
      <c r="R76" s="96"/>
      <c r="S76" s="203"/>
      <c r="T76" s="203"/>
      <c r="U76" s="203"/>
      <c r="V76" s="203"/>
      <c r="W76" s="203"/>
      <c r="X76" s="203"/>
      <c r="Y76" s="203"/>
      <c r="Z76" s="203"/>
      <c r="AA76" s="203"/>
      <c r="AB76" s="203"/>
      <c r="AC76" s="203"/>
    </row>
    <row r="77" spans="1:29" ht="15">
      <c r="A77" s="203"/>
      <c r="B77" s="223">
        <v>11</v>
      </c>
      <c r="C77" s="440" t="str">
        <f>IF('INPUT DATA'!Q21="","",'INPUT DATA'!Q21)</f>
        <v/>
      </c>
      <c r="D77" s="441"/>
      <c r="E77" s="442"/>
      <c r="F77" s="438" t="str">
        <f>IF('INPUT DATA'!T21="","",'INPUT DATA'!T21)</f>
        <v/>
      </c>
      <c r="G77" s="439"/>
      <c r="H77" s="179" t="str">
        <f>IF('INPUT DATA'!S21="","",'INPUT DATA'!S21)</f>
        <v/>
      </c>
      <c r="I77" s="88" t="str">
        <f t="shared" ca="1" si="1"/>
        <v/>
      </c>
      <c r="J77" s="224"/>
      <c r="K77" s="94"/>
      <c r="L77" s="95"/>
      <c r="M77" s="95"/>
      <c r="N77" s="95"/>
      <c r="O77" s="95"/>
      <c r="P77" s="95"/>
      <c r="Q77" s="103"/>
      <c r="R77" s="96"/>
      <c r="S77" s="203"/>
      <c r="T77" s="203"/>
      <c r="U77" s="203"/>
      <c r="V77" s="203"/>
      <c r="W77" s="203"/>
      <c r="X77" s="203"/>
      <c r="Y77" s="203"/>
      <c r="Z77" s="203"/>
      <c r="AA77" s="203"/>
      <c r="AB77" s="203"/>
      <c r="AC77" s="203"/>
    </row>
    <row r="78" spans="1:29" ht="15">
      <c r="A78" s="203"/>
      <c r="B78" s="223">
        <v>12</v>
      </c>
      <c r="C78" s="440" t="str">
        <f>IF('INPUT DATA'!Q22="","",'INPUT DATA'!Q22)</f>
        <v/>
      </c>
      <c r="D78" s="441"/>
      <c r="E78" s="442"/>
      <c r="F78" s="438" t="str">
        <f>IF('INPUT DATA'!T22="","",'INPUT DATA'!T22)</f>
        <v/>
      </c>
      <c r="G78" s="439"/>
      <c r="H78" s="179" t="str">
        <f>IF('INPUT DATA'!S22="","",'INPUT DATA'!S22)</f>
        <v/>
      </c>
      <c r="I78" s="88" t="str">
        <f t="shared" ca="1" si="1"/>
        <v/>
      </c>
      <c r="J78" s="224"/>
      <c r="K78" s="94"/>
      <c r="L78" s="95"/>
      <c r="M78" s="95"/>
      <c r="N78" s="95"/>
      <c r="O78" s="95"/>
      <c r="P78" s="95"/>
      <c r="Q78" s="103"/>
      <c r="R78" s="96"/>
      <c r="S78" s="203"/>
      <c r="T78" s="203"/>
      <c r="U78" s="203"/>
      <c r="V78" s="203"/>
      <c r="W78" s="203"/>
      <c r="X78" s="203"/>
      <c r="Y78" s="203"/>
      <c r="Z78" s="203"/>
      <c r="AA78" s="203"/>
      <c r="AB78" s="203"/>
      <c r="AC78" s="203"/>
    </row>
    <row r="79" spans="1:29" ht="15">
      <c r="A79" s="203"/>
      <c r="B79" s="223">
        <v>13</v>
      </c>
      <c r="C79" s="440" t="str">
        <f>IF('INPUT DATA'!Q23="","",'INPUT DATA'!Q23)</f>
        <v/>
      </c>
      <c r="D79" s="441"/>
      <c r="E79" s="442"/>
      <c r="F79" s="438" t="str">
        <f>IF('INPUT DATA'!T23="","",'INPUT DATA'!T23)</f>
        <v/>
      </c>
      <c r="G79" s="439"/>
      <c r="H79" s="179" t="str">
        <f>IF('INPUT DATA'!S23="","",'INPUT DATA'!S23)</f>
        <v/>
      </c>
      <c r="I79" s="88" t="str">
        <f t="shared" ca="1" si="1"/>
        <v/>
      </c>
      <c r="J79" s="224"/>
      <c r="K79" s="94"/>
      <c r="L79" s="95"/>
      <c r="M79" s="95"/>
      <c r="N79" s="95"/>
      <c r="O79" s="95"/>
      <c r="P79" s="95"/>
      <c r="Q79" s="103"/>
      <c r="R79" s="96"/>
      <c r="S79" s="203"/>
      <c r="T79" s="203"/>
      <c r="U79" s="203"/>
      <c r="V79" s="203"/>
      <c r="W79" s="203"/>
      <c r="X79" s="203"/>
      <c r="Y79" s="203"/>
      <c r="Z79" s="203"/>
      <c r="AA79" s="203"/>
      <c r="AB79" s="203"/>
      <c r="AC79" s="203"/>
    </row>
    <row r="80" spans="1:29" ht="15">
      <c r="A80" s="203"/>
      <c r="B80" s="223">
        <v>14</v>
      </c>
      <c r="C80" s="440" t="str">
        <f>IF('INPUT DATA'!Q24="","",'INPUT DATA'!Q24)</f>
        <v/>
      </c>
      <c r="D80" s="441"/>
      <c r="E80" s="442"/>
      <c r="F80" s="438" t="str">
        <f>IF('INPUT DATA'!T24="","",'INPUT DATA'!T24)</f>
        <v/>
      </c>
      <c r="G80" s="439"/>
      <c r="H80" s="179" t="str">
        <f>IF('INPUT DATA'!S24="","",'INPUT DATA'!S24)</f>
        <v/>
      </c>
      <c r="I80" s="88" t="str">
        <f t="shared" ca="1" si="1"/>
        <v/>
      </c>
      <c r="J80" s="224"/>
      <c r="K80" s="94"/>
      <c r="L80" s="95"/>
      <c r="M80" s="95"/>
      <c r="N80" s="95"/>
      <c r="O80" s="95"/>
      <c r="P80" s="95"/>
      <c r="Q80" s="103"/>
      <c r="R80" s="96"/>
      <c r="S80" s="203"/>
      <c r="T80" s="203"/>
      <c r="U80" s="203"/>
      <c r="V80" s="203"/>
      <c r="W80" s="203"/>
      <c r="X80" s="203"/>
      <c r="Y80" s="203"/>
      <c r="Z80" s="203"/>
      <c r="AA80" s="203"/>
      <c r="AB80" s="203"/>
      <c r="AC80" s="203"/>
    </row>
    <row r="81" spans="1:29" ht="15">
      <c r="A81" s="203"/>
      <c r="B81" s="223">
        <v>15</v>
      </c>
      <c r="C81" s="440" t="str">
        <f>IF('INPUT DATA'!Q25="","",'INPUT DATA'!Q25)</f>
        <v/>
      </c>
      <c r="D81" s="441"/>
      <c r="E81" s="442"/>
      <c r="F81" s="438" t="str">
        <f>IF('INPUT DATA'!T25="","",'INPUT DATA'!T25)</f>
        <v/>
      </c>
      <c r="G81" s="439"/>
      <c r="H81" s="179" t="str">
        <f>IF('INPUT DATA'!S25="","",'INPUT DATA'!S25)</f>
        <v/>
      </c>
      <c r="I81" s="88" t="str">
        <f t="shared" ca="1" si="1"/>
        <v/>
      </c>
      <c r="J81" s="224"/>
      <c r="K81" s="94"/>
      <c r="L81" s="95"/>
      <c r="M81" s="95"/>
      <c r="N81" s="95"/>
      <c r="O81" s="95"/>
      <c r="P81" s="95"/>
      <c r="Q81" s="103"/>
      <c r="R81" s="96"/>
      <c r="S81" s="203"/>
      <c r="T81" s="203"/>
      <c r="U81" s="203"/>
      <c r="V81" s="203"/>
      <c r="W81" s="203"/>
      <c r="X81" s="203"/>
      <c r="Y81" s="203"/>
      <c r="Z81" s="203"/>
      <c r="AA81" s="203"/>
      <c r="AB81" s="203"/>
      <c r="AC81" s="203"/>
    </row>
    <row r="82" spans="1:29" ht="15">
      <c r="A82" s="203"/>
      <c r="B82" s="223">
        <v>16</v>
      </c>
      <c r="C82" s="440" t="str">
        <f>IF('INPUT DATA'!Q26="","",'INPUT DATA'!Q26)</f>
        <v/>
      </c>
      <c r="D82" s="441"/>
      <c r="E82" s="442"/>
      <c r="F82" s="438" t="str">
        <f>IF('INPUT DATA'!T26="","",'INPUT DATA'!T26)</f>
        <v/>
      </c>
      <c r="G82" s="439"/>
      <c r="H82" s="179" t="str">
        <f>IF('INPUT DATA'!S26="","",'INPUT DATA'!S26)</f>
        <v/>
      </c>
      <c r="I82" s="88" t="str">
        <f t="shared" ca="1" si="1"/>
        <v/>
      </c>
      <c r="J82" s="224"/>
      <c r="K82" s="94"/>
      <c r="L82" s="95"/>
      <c r="M82" s="95"/>
      <c r="N82" s="95"/>
      <c r="O82" s="95"/>
      <c r="P82" s="95"/>
      <c r="Q82" s="103"/>
      <c r="R82" s="96"/>
      <c r="S82" s="203"/>
      <c r="T82" s="203"/>
      <c r="U82" s="203"/>
      <c r="V82" s="203"/>
      <c r="W82" s="203"/>
      <c r="X82" s="203"/>
      <c r="Y82" s="203"/>
      <c r="Z82" s="203"/>
      <c r="AA82" s="203"/>
      <c r="AB82" s="203"/>
      <c r="AC82" s="203"/>
    </row>
    <row r="83" spans="1:29" ht="15">
      <c r="A83" s="203"/>
      <c r="B83" s="223">
        <v>17</v>
      </c>
      <c r="C83" s="440" t="str">
        <f>IF('INPUT DATA'!Q27="","",'INPUT DATA'!Q27)</f>
        <v/>
      </c>
      <c r="D83" s="441"/>
      <c r="E83" s="442"/>
      <c r="F83" s="438" t="str">
        <f>IF('INPUT DATA'!T27="","",'INPUT DATA'!T27)</f>
        <v/>
      </c>
      <c r="G83" s="439"/>
      <c r="H83" s="179" t="str">
        <f>IF('INPUT DATA'!S27="","",'INPUT DATA'!S27)</f>
        <v/>
      </c>
      <c r="I83" s="88" t="str">
        <f t="shared" ca="1" si="1"/>
        <v/>
      </c>
      <c r="J83" s="224"/>
      <c r="K83" s="94"/>
      <c r="L83" s="95"/>
      <c r="M83" s="95"/>
      <c r="N83" s="95"/>
      <c r="O83" s="95"/>
      <c r="P83" s="95"/>
      <c r="Q83" s="103"/>
      <c r="R83" s="96"/>
      <c r="S83" s="203"/>
      <c r="T83" s="203"/>
      <c r="U83" s="203"/>
      <c r="V83" s="203"/>
      <c r="W83" s="203"/>
      <c r="X83" s="203"/>
      <c r="Y83" s="203"/>
      <c r="Z83" s="203"/>
      <c r="AA83" s="203"/>
      <c r="AB83" s="203"/>
      <c r="AC83" s="203"/>
    </row>
    <row r="84" spans="1:29" ht="15">
      <c r="A84" s="203"/>
      <c r="B84" s="223">
        <v>18</v>
      </c>
      <c r="C84" s="440" t="str">
        <f>IF('INPUT DATA'!Q28="","",'INPUT DATA'!Q28)</f>
        <v/>
      </c>
      <c r="D84" s="441"/>
      <c r="E84" s="442"/>
      <c r="F84" s="438" t="str">
        <f>IF('INPUT DATA'!T28="","",'INPUT DATA'!T28)</f>
        <v/>
      </c>
      <c r="G84" s="439"/>
      <c r="H84" s="179" t="str">
        <f>IF('INPUT DATA'!S28="","",'INPUT DATA'!S28)</f>
        <v/>
      </c>
      <c r="I84" s="88" t="str">
        <f t="shared" ca="1" si="1"/>
        <v/>
      </c>
      <c r="J84" s="224"/>
      <c r="K84" s="94"/>
      <c r="L84" s="95"/>
      <c r="M84" s="95"/>
      <c r="N84" s="95"/>
      <c r="O84" s="95"/>
      <c r="P84" s="95"/>
      <c r="Q84" s="103"/>
      <c r="R84" s="96"/>
      <c r="S84" s="203"/>
      <c r="T84" s="203"/>
      <c r="U84" s="203"/>
      <c r="V84" s="203"/>
      <c r="W84" s="203"/>
      <c r="X84" s="203"/>
      <c r="Y84" s="203"/>
      <c r="Z84" s="203"/>
      <c r="AA84" s="203"/>
      <c r="AB84" s="203"/>
      <c r="AC84" s="203"/>
    </row>
    <row r="85" spans="1:29" ht="15">
      <c r="A85" s="203"/>
      <c r="B85" s="223">
        <v>19</v>
      </c>
      <c r="C85" s="440" t="str">
        <f>IF('INPUT DATA'!Q29="","",'INPUT DATA'!Q29)</f>
        <v/>
      </c>
      <c r="D85" s="441"/>
      <c r="E85" s="442"/>
      <c r="F85" s="438" t="str">
        <f>IF('INPUT DATA'!T29="","",'INPUT DATA'!T29)</f>
        <v/>
      </c>
      <c r="G85" s="439"/>
      <c r="H85" s="179" t="str">
        <f>IF('INPUT DATA'!S29="","",'INPUT DATA'!S29)</f>
        <v/>
      </c>
      <c r="I85" s="88" t="str">
        <f t="shared" ca="1" si="1"/>
        <v/>
      </c>
      <c r="J85" s="224"/>
      <c r="K85" s="94"/>
      <c r="L85" s="95"/>
      <c r="M85" s="95"/>
      <c r="N85" s="95"/>
      <c r="O85" s="95"/>
      <c r="P85" s="95"/>
      <c r="Q85" s="103"/>
      <c r="R85" s="96"/>
      <c r="S85" s="203"/>
      <c r="T85" s="203"/>
      <c r="U85" s="203"/>
      <c r="V85" s="203"/>
      <c r="W85" s="203"/>
      <c r="X85" s="203"/>
      <c r="Y85" s="203"/>
      <c r="Z85" s="203"/>
      <c r="AA85" s="203"/>
      <c r="AB85" s="203"/>
      <c r="AC85" s="203"/>
    </row>
    <row r="86" spans="1:29" ht="15">
      <c r="A86" s="203"/>
      <c r="B86" s="226">
        <v>20</v>
      </c>
      <c r="C86" s="440" t="str">
        <f>IF('INPUT DATA'!Q30="","",'INPUT DATA'!Q30)</f>
        <v/>
      </c>
      <c r="D86" s="441"/>
      <c r="E86" s="442"/>
      <c r="F86" s="438" t="str">
        <f>IF('INPUT DATA'!T30="","",'INPUT DATA'!T30)</f>
        <v/>
      </c>
      <c r="G86" s="439"/>
      <c r="H86" s="179" t="str">
        <f>IF('INPUT DATA'!S30="","",'INPUT DATA'!S30)</f>
        <v/>
      </c>
      <c r="I86" s="88" t="str">
        <f t="shared" ca="1" si="1"/>
        <v/>
      </c>
      <c r="J86" s="224"/>
      <c r="K86" s="97"/>
      <c r="L86" s="98"/>
      <c r="M86" s="98"/>
      <c r="N86" s="98"/>
      <c r="O86" s="98"/>
      <c r="P86" s="98"/>
      <c r="Q86" s="104"/>
      <c r="R86" s="99"/>
      <c r="S86" s="203"/>
      <c r="T86" s="203"/>
      <c r="U86" s="203"/>
      <c r="V86" s="203"/>
      <c r="W86" s="203"/>
      <c r="X86" s="203"/>
      <c r="Y86" s="203"/>
      <c r="Z86" s="203"/>
      <c r="AA86" s="203"/>
      <c r="AB86" s="203"/>
      <c r="AC86" s="203"/>
    </row>
    <row r="87" spans="1:29" ht="15">
      <c r="A87" s="203"/>
      <c r="B87" s="226">
        <v>21</v>
      </c>
      <c r="C87" s="440" t="str">
        <f>IF('INPUT DATA'!Q31="","",'INPUT DATA'!Q31)</f>
        <v/>
      </c>
      <c r="D87" s="441"/>
      <c r="E87" s="442"/>
      <c r="F87" s="438" t="str">
        <f>IF('INPUT DATA'!T31="","",'INPUT DATA'!T31)</f>
        <v/>
      </c>
      <c r="G87" s="439"/>
      <c r="H87" s="179" t="str">
        <f>IF('INPUT DATA'!S31="","",'INPUT DATA'!S31)</f>
        <v/>
      </c>
      <c r="I87" s="88" t="str">
        <f t="shared" ca="1" si="1"/>
        <v/>
      </c>
      <c r="J87" s="224"/>
      <c r="K87" s="94"/>
      <c r="L87" s="95"/>
      <c r="M87" s="95"/>
      <c r="N87" s="95"/>
      <c r="O87" s="95"/>
      <c r="P87" s="95"/>
      <c r="Q87" s="103"/>
      <c r="R87" s="96"/>
      <c r="S87" s="203"/>
      <c r="T87" s="203"/>
      <c r="U87" s="203"/>
      <c r="V87" s="203"/>
      <c r="W87" s="203"/>
      <c r="X87" s="203"/>
      <c r="Y87" s="203"/>
      <c r="Z87" s="203"/>
      <c r="AA87" s="203"/>
      <c r="AB87" s="203"/>
      <c r="AC87" s="203"/>
    </row>
    <row r="88" spans="1:29" ht="15">
      <c r="A88" s="203"/>
      <c r="B88" s="226">
        <v>22</v>
      </c>
      <c r="C88" s="440" t="str">
        <f>IF('INPUT DATA'!Q32="","",'INPUT DATA'!Q32)</f>
        <v/>
      </c>
      <c r="D88" s="441"/>
      <c r="E88" s="442"/>
      <c r="F88" s="438" t="str">
        <f>IF('INPUT DATA'!T32="","",'INPUT DATA'!T32)</f>
        <v/>
      </c>
      <c r="G88" s="439"/>
      <c r="H88" s="179" t="str">
        <f>IF('INPUT DATA'!S32="","",'INPUT DATA'!S32)</f>
        <v/>
      </c>
      <c r="I88" s="88" t="str">
        <f t="shared" ca="1" si="1"/>
        <v/>
      </c>
      <c r="J88" s="224"/>
      <c r="K88" s="94"/>
      <c r="L88" s="95"/>
      <c r="M88" s="95"/>
      <c r="N88" s="95"/>
      <c r="O88" s="95"/>
      <c r="P88" s="95"/>
      <c r="Q88" s="103"/>
      <c r="R88" s="96"/>
      <c r="S88" s="203"/>
      <c r="T88" s="203"/>
      <c r="U88" s="203"/>
      <c r="V88" s="203"/>
      <c r="W88" s="203"/>
      <c r="X88" s="203"/>
      <c r="Y88" s="203"/>
      <c r="Z88" s="203"/>
      <c r="AA88" s="203"/>
      <c r="AB88" s="203"/>
      <c r="AC88" s="203"/>
    </row>
    <row r="89" spans="1:29" ht="15">
      <c r="A89" s="203"/>
      <c r="B89" s="226">
        <v>23</v>
      </c>
      <c r="C89" s="440" t="str">
        <f>IF('INPUT DATA'!Q33="","",'INPUT DATA'!Q33)</f>
        <v/>
      </c>
      <c r="D89" s="441"/>
      <c r="E89" s="442"/>
      <c r="F89" s="438" t="str">
        <f>IF('INPUT DATA'!T33="","",'INPUT DATA'!T33)</f>
        <v/>
      </c>
      <c r="G89" s="439"/>
      <c r="H89" s="179" t="str">
        <f>IF('INPUT DATA'!S33="","",'INPUT DATA'!S33)</f>
        <v/>
      </c>
      <c r="I89" s="88" t="str">
        <f t="shared" ca="1" si="1"/>
        <v/>
      </c>
      <c r="J89" s="224"/>
      <c r="K89" s="94"/>
      <c r="L89" s="95"/>
      <c r="M89" s="95"/>
      <c r="N89" s="95"/>
      <c r="O89" s="95"/>
      <c r="P89" s="95"/>
      <c r="Q89" s="103"/>
      <c r="R89" s="96"/>
      <c r="S89" s="203"/>
      <c r="T89" s="203"/>
      <c r="U89" s="203"/>
      <c r="V89" s="203"/>
      <c r="W89" s="203"/>
      <c r="X89" s="203"/>
      <c r="Y89" s="203"/>
      <c r="Z89" s="203"/>
      <c r="AA89" s="203"/>
      <c r="AB89" s="203"/>
      <c r="AC89" s="203"/>
    </row>
    <row r="90" spans="1:29" ht="15">
      <c r="A90" s="203"/>
      <c r="B90" s="226">
        <v>24</v>
      </c>
      <c r="C90" s="440" t="str">
        <f>IF('INPUT DATA'!Q34="","",'INPUT DATA'!Q34)</f>
        <v/>
      </c>
      <c r="D90" s="441"/>
      <c r="E90" s="442"/>
      <c r="F90" s="438" t="str">
        <f>IF('INPUT DATA'!T34="","",'INPUT DATA'!T34)</f>
        <v/>
      </c>
      <c r="G90" s="439"/>
      <c r="H90" s="179" t="str">
        <f>IF('INPUT DATA'!S34="","",'INPUT DATA'!S34)</f>
        <v/>
      </c>
      <c r="I90" s="88" t="str">
        <f t="shared" ca="1" si="1"/>
        <v/>
      </c>
      <c r="J90" s="224"/>
      <c r="K90" s="94"/>
      <c r="L90" s="95"/>
      <c r="M90" s="95"/>
      <c r="N90" s="95"/>
      <c r="O90" s="95"/>
      <c r="P90" s="95"/>
      <c r="Q90" s="103"/>
      <c r="R90" s="96"/>
      <c r="S90" s="203"/>
      <c r="T90" s="203"/>
      <c r="U90" s="203"/>
      <c r="V90" s="203"/>
      <c r="W90" s="203"/>
      <c r="X90" s="203"/>
      <c r="Y90" s="203"/>
      <c r="Z90" s="203"/>
      <c r="AA90" s="203"/>
      <c r="AB90" s="203"/>
      <c r="AC90" s="203"/>
    </row>
    <row r="91" spans="1:29" ht="15">
      <c r="A91" s="203"/>
      <c r="B91" s="226">
        <v>25</v>
      </c>
      <c r="C91" s="440" t="str">
        <f>IF('INPUT DATA'!Q35="","",'INPUT DATA'!Q35)</f>
        <v/>
      </c>
      <c r="D91" s="441"/>
      <c r="E91" s="442"/>
      <c r="F91" s="438" t="str">
        <f>IF('INPUT DATA'!T35="","",'INPUT DATA'!T35)</f>
        <v/>
      </c>
      <c r="G91" s="439"/>
      <c r="H91" s="179" t="str">
        <f>IF('INPUT DATA'!S35="","",'INPUT DATA'!S35)</f>
        <v/>
      </c>
      <c r="I91" s="88" t="str">
        <f t="shared" ca="1" si="1"/>
        <v/>
      </c>
      <c r="J91" s="224"/>
      <c r="K91" s="94"/>
      <c r="L91" s="95"/>
      <c r="M91" s="95"/>
      <c r="N91" s="95"/>
      <c r="O91" s="95"/>
      <c r="P91" s="95"/>
      <c r="Q91" s="103"/>
      <c r="R91" s="96"/>
      <c r="S91" s="203"/>
      <c r="T91" s="203"/>
      <c r="U91" s="203"/>
      <c r="V91" s="203"/>
      <c r="W91" s="203"/>
      <c r="X91" s="203"/>
      <c r="Y91" s="203"/>
      <c r="Z91" s="203"/>
      <c r="AA91" s="203"/>
      <c r="AB91" s="203"/>
      <c r="AC91" s="203"/>
    </row>
    <row r="92" spans="1:29" ht="15">
      <c r="A92" s="203"/>
      <c r="B92" s="226">
        <v>26</v>
      </c>
      <c r="C92" s="440" t="str">
        <f>IF('INPUT DATA'!Q36="","",'INPUT DATA'!Q36)</f>
        <v/>
      </c>
      <c r="D92" s="441"/>
      <c r="E92" s="442"/>
      <c r="F92" s="438" t="str">
        <f>IF('INPUT DATA'!T36="","",'INPUT DATA'!T36)</f>
        <v/>
      </c>
      <c r="G92" s="439"/>
      <c r="H92" s="179" t="str">
        <f>IF('INPUT DATA'!S36="","",'INPUT DATA'!S36)</f>
        <v/>
      </c>
      <c r="I92" s="88" t="str">
        <f t="shared" ca="1" si="1"/>
        <v/>
      </c>
      <c r="J92" s="224"/>
      <c r="K92" s="94"/>
      <c r="L92" s="95"/>
      <c r="M92" s="95"/>
      <c r="N92" s="95"/>
      <c r="O92" s="95"/>
      <c r="P92" s="95"/>
      <c r="Q92" s="103"/>
      <c r="R92" s="96"/>
      <c r="S92" s="203"/>
      <c r="T92" s="203"/>
      <c r="U92" s="203"/>
      <c r="V92" s="203"/>
      <c r="W92" s="203"/>
      <c r="X92" s="203"/>
      <c r="Y92" s="203"/>
      <c r="Z92" s="203"/>
      <c r="AA92" s="203"/>
      <c r="AB92" s="203"/>
      <c r="AC92" s="203"/>
    </row>
    <row r="93" spans="1:29" ht="15">
      <c r="A93" s="203"/>
      <c r="B93" s="226">
        <v>27</v>
      </c>
      <c r="C93" s="440" t="str">
        <f>IF('INPUT DATA'!Q37="","",'INPUT DATA'!Q37)</f>
        <v/>
      </c>
      <c r="D93" s="441"/>
      <c r="E93" s="442"/>
      <c r="F93" s="438" t="str">
        <f>IF('INPUT DATA'!T37="","",'INPUT DATA'!T37)</f>
        <v/>
      </c>
      <c r="G93" s="439"/>
      <c r="H93" s="179" t="str">
        <f>IF('INPUT DATA'!S37="","",'INPUT DATA'!S37)</f>
        <v/>
      </c>
      <c r="I93" s="88" t="str">
        <f t="shared" ca="1" si="1"/>
        <v/>
      </c>
      <c r="J93" s="224"/>
      <c r="K93" s="94"/>
      <c r="L93" s="95"/>
      <c r="M93" s="95"/>
      <c r="N93" s="95"/>
      <c r="O93" s="95"/>
      <c r="P93" s="95"/>
      <c r="Q93" s="103"/>
      <c r="R93" s="96"/>
      <c r="S93" s="203"/>
      <c r="T93" s="203"/>
      <c r="U93" s="203"/>
      <c r="V93" s="203"/>
      <c r="W93" s="203"/>
      <c r="X93" s="203"/>
      <c r="Y93" s="203"/>
      <c r="Z93" s="203"/>
      <c r="AA93" s="203"/>
      <c r="AB93" s="203"/>
      <c r="AC93" s="203"/>
    </row>
    <row r="94" spans="1:29" ht="15">
      <c r="A94" s="203"/>
      <c r="B94" s="226">
        <v>28</v>
      </c>
      <c r="C94" s="440" t="str">
        <f>IF('INPUT DATA'!Q38="","",'INPUT DATA'!Q38)</f>
        <v/>
      </c>
      <c r="D94" s="441"/>
      <c r="E94" s="442"/>
      <c r="F94" s="438" t="str">
        <f>IF('INPUT DATA'!T38="","",'INPUT DATA'!T38)</f>
        <v/>
      </c>
      <c r="G94" s="439"/>
      <c r="H94" s="179" t="str">
        <f>IF('INPUT DATA'!S38="","",'INPUT DATA'!S38)</f>
        <v/>
      </c>
      <c r="I94" s="88" t="str">
        <f t="shared" ca="1" si="1"/>
        <v/>
      </c>
      <c r="J94" s="224"/>
      <c r="K94" s="94"/>
      <c r="L94" s="95"/>
      <c r="M94" s="95"/>
      <c r="N94" s="95"/>
      <c r="O94" s="95"/>
      <c r="P94" s="95"/>
      <c r="Q94" s="103"/>
      <c r="R94" s="96"/>
      <c r="S94" s="203"/>
      <c r="T94" s="203"/>
      <c r="U94" s="203"/>
      <c r="V94" s="203"/>
      <c r="W94" s="203"/>
      <c r="X94" s="203"/>
      <c r="Y94" s="203"/>
      <c r="Z94" s="203"/>
      <c r="AA94" s="203"/>
      <c r="AB94" s="203"/>
      <c r="AC94" s="203"/>
    </row>
    <row r="95" spans="1:29" ht="15">
      <c r="A95" s="203"/>
      <c r="B95" s="226">
        <v>29</v>
      </c>
      <c r="C95" s="440" t="str">
        <f>IF('INPUT DATA'!Q39="","",'INPUT DATA'!Q39)</f>
        <v/>
      </c>
      <c r="D95" s="441"/>
      <c r="E95" s="442"/>
      <c r="F95" s="438" t="str">
        <f>IF('INPUT DATA'!T39="","",'INPUT DATA'!T39)</f>
        <v/>
      </c>
      <c r="G95" s="439"/>
      <c r="H95" s="179" t="str">
        <f>IF('INPUT DATA'!S39="","",'INPUT DATA'!S39)</f>
        <v/>
      </c>
      <c r="I95" s="88" t="str">
        <f t="shared" ca="1" si="1"/>
        <v/>
      </c>
      <c r="J95" s="224"/>
      <c r="K95" s="94"/>
      <c r="L95" s="95"/>
      <c r="M95" s="95"/>
      <c r="N95" s="95"/>
      <c r="O95" s="95"/>
      <c r="P95" s="95"/>
      <c r="Q95" s="103"/>
      <c r="R95" s="96"/>
      <c r="S95" s="203"/>
      <c r="T95" s="203"/>
      <c r="U95" s="203"/>
      <c r="V95" s="203"/>
      <c r="W95" s="203"/>
      <c r="X95" s="203"/>
      <c r="Y95" s="203"/>
      <c r="Z95" s="203"/>
      <c r="AA95" s="203"/>
      <c r="AB95" s="203"/>
      <c r="AC95" s="203"/>
    </row>
    <row r="96" spans="1:29" ht="15">
      <c r="A96" s="203"/>
      <c r="B96" s="226">
        <v>30</v>
      </c>
      <c r="C96" s="440" t="str">
        <f>IF('INPUT DATA'!Q40="","",'INPUT DATA'!Q40)</f>
        <v/>
      </c>
      <c r="D96" s="441"/>
      <c r="E96" s="442"/>
      <c r="F96" s="438" t="str">
        <f>IF('INPUT DATA'!T40="","",'INPUT DATA'!T40)</f>
        <v/>
      </c>
      <c r="G96" s="439"/>
      <c r="H96" s="179" t="str">
        <f>IF('INPUT DATA'!S40="","",'INPUT DATA'!S40)</f>
        <v/>
      </c>
      <c r="I96" s="88" t="str">
        <f t="shared" ca="1" si="1"/>
        <v/>
      </c>
      <c r="J96" s="224"/>
      <c r="K96" s="94"/>
      <c r="L96" s="95"/>
      <c r="M96" s="95"/>
      <c r="N96" s="95"/>
      <c r="O96" s="95"/>
      <c r="P96" s="95"/>
      <c r="Q96" s="103"/>
      <c r="R96" s="96"/>
      <c r="S96" s="203"/>
      <c r="T96" s="203"/>
      <c r="U96" s="203"/>
      <c r="V96" s="203"/>
      <c r="W96" s="203"/>
      <c r="X96" s="203"/>
      <c r="Y96" s="203"/>
      <c r="Z96" s="203"/>
      <c r="AA96" s="203"/>
      <c r="AB96" s="203"/>
      <c r="AC96" s="203"/>
    </row>
    <row r="97" spans="1:29" ht="15">
      <c r="A97" s="203"/>
      <c r="B97" s="226">
        <v>31</v>
      </c>
      <c r="C97" s="440" t="str">
        <f>IF('INPUT DATA'!Q41="","",'INPUT DATA'!Q41)</f>
        <v/>
      </c>
      <c r="D97" s="441"/>
      <c r="E97" s="442"/>
      <c r="F97" s="438" t="str">
        <f>IF('INPUT DATA'!T41="","",'INPUT DATA'!T41)</f>
        <v/>
      </c>
      <c r="G97" s="439"/>
      <c r="H97" s="179" t="str">
        <f>IF('INPUT DATA'!S41="","",'INPUT DATA'!S41)</f>
        <v/>
      </c>
      <c r="I97" s="88" t="str">
        <f t="shared" ca="1" si="1"/>
        <v/>
      </c>
      <c r="J97" s="224"/>
      <c r="K97" s="94"/>
      <c r="L97" s="95"/>
      <c r="M97" s="95"/>
      <c r="N97" s="95"/>
      <c r="O97" s="95"/>
      <c r="P97" s="95"/>
      <c r="Q97" s="103"/>
      <c r="R97" s="96"/>
      <c r="S97" s="203"/>
      <c r="T97" s="203"/>
      <c r="U97" s="203"/>
      <c r="V97" s="203"/>
      <c r="W97" s="203"/>
      <c r="X97" s="203"/>
      <c r="Y97" s="203"/>
      <c r="Z97" s="203"/>
      <c r="AA97" s="203"/>
      <c r="AB97" s="203"/>
      <c r="AC97" s="203"/>
    </row>
    <row r="98" spans="1:29" ht="15">
      <c r="A98" s="203"/>
      <c r="B98" s="226">
        <v>32</v>
      </c>
      <c r="C98" s="440" t="str">
        <f>IF('INPUT DATA'!Q42="","",'INPUT DATA'!Q42)</f>
        <v/>
      </c>
      <c r="D98" s="441"/>
      <c r="E98" s="442"/>
      <c r="F98" s="438" t="str">
        <f>IF('INPUT DATA'!T42="","",'INPUT DATA'!T42)</f>
        <v/>
      </c>
      <c r="G98" s="439"/>
      <c r="H98" s="179" t="str">
        <f>IF('INPUT DATA'!S42="","",'INPUT DATA'!S42)</f>
        <v/>
      </c>
      <c r="I98" s="88" t="str">
        <f t="shared" ca="1" si="1"/>
        <v/>
      </c>
      <c r="J98" s="224"/>
      <c r="K98" s="94"/>
      <c r="L98" s="95"/>
      <c r="M98" s="95"/>
      <c r="N98" s="95"/>
      <c r="O98" s="95"/>
      <c r="P98" s="95"/>
      <c r="Q98" s="103"/>
      <c r="R98" s="96"/>
      <c r="S98" s="203"/>
      <c r="T98" s="203"/>
      <c r="U98" s="203"/>
      <c r="V98" s="203"/>
      <c r="W98" s="203"/>
      <c r="X98" s="203"/>
      <c r="Y98" s="203"/>
      <c r="Z98" s="203"/>
      <c r="AA98" s="203"/>
      <c r="AB98" s="203"/>
      <c r="AC98" s="203"/>
    </row>
    <row r="99" spans="1:29" ht="15">
      <c r="A99" s="203"/>
      <c r="B99" s="226">
        <v>33</v>
      </c>
      <c r="C99" s="440" t="str">
        <f>IF('INPUT DATA'!Q43="","",'INPUT DATA'!Q43)</f>
        <v/>
      </c>
      <c r="D99" s="441"/>
      <c r="E99" s="442"/>
      <c r="F99" s="438" t="str">
        <f>IF('INPUT DATA'!T43="","",'INPUT DATA'!T43)</f>
        <v/>
      </c>
      <c r="G99" s="439"/>
      <c r="H99" s="179" t="str">
        <f>IF('INPUT DATA'!S43="","",'INPUT DATA'!S43)</f>
        <v/>
      </c>
      <c r="I99" s="88" t="str">
        <f t="shared" ca="1" si="1"/>
        <v/>
      </c>
      <c r="J99" s="224"/>
      <c r="K99" s="94"/>
      <c r="L99" s="95"/>
      <c r="M99" s="95"/>
      <c r="N99" s="95"/>
      <c r="O99" s="95"/>
      <c r="P99" s="95"/>
      <c r="Q99" s="103"/>
      <c r="R99" s="96"/>
      <c r="S99" s="203"/>
      <c r="T99" s="203"/>
      <c r="U99" s="203"/>
      <c r="V99" s="203"/>
      <c r="W99" s="203"/>
      <c r="X99" s="203"/>
      <c r="Y99" s="203"/>
      <c r="Z99" s="203"/>
      <c r="AA99" s="203"/>
      <c r="AB99" s="203"/>
      <c r="AC99" s="203"/>
    </row>
    <row r="100" spans="1:29" ht="15">
      <c r="A100" s="203"/>
      <c r="B100" s="226">
        <v>34</v>
      </c>
      <c r="C100" s="440" t="str">
        <f>IF('INPUT DATA'!Q44="","",'INPUT DATA'!Q44)</f>
        <v/>
      </c>
      <c r="D100" s="441"/>
      <c r="E100" s="442"/>
      <c r="F100" s="438" t="str">
        <f>IF('INPUT DATA'!T44="","",'INPUT DATA'!T44)</f>
        <v/>
      </c>
      <c r="G100" s="439"/>
      <c r="H100" s="179" t="str">
        <f>IF('INPUT DATA'!S44="","",'INPUT DATA'!S44)</f>
        <v/>
      </c>
      <c r="I100" s="88" t="str">
        <f t="shared" ca="1" si="1"/>
        <v/>
      </c>
      <c r="J100" s="224"/>
      <c r="K100" s="94"/>
      <c r="L100" s="95"/>
      <c r="M100" s="95"/>
      <c r="N100" s="95"/>
      <c r="O100" s="95"/>
      <c r="P100" s="95"/>
      <c r="Q100" s="103"/>
      <c r="R100" s="96"/>
      <c r="S100" s="203"/>
      <c r="T100" s="203"/>
      <c r="U100" s="203"/>
      <c r="V100" s="203"/>
      <c r="W100" s="203"/>
      <c r="X100" s="203"/>
      <c r="Y100" s="203"/>
      <c r="Z100" s="203"/>
      <c r="AA100" s="203"/>
      <c r="AB100" s="203"/>
      <c r="AC100" s="203"/>
    </row>
    <row r="101" spans="1:29" ht="15">
      <c r="A101" s="203"/>
      <c r="B101" s="226">
        <v>35</v>
      </c>
      <c r="C101" s="440" t="str">
        <f>IF('INPUT DATA'!Q45="","",'INPUT DATA'!Q45)</f>
        <v/>
      </c>
      <c r="D101" s="441"/>
      <c r="E101" s="442"/>
      <c r="F101" s="438" t="str">
        <f>IF('INPUT DATA'!T45="","",'INPUT DATA'!T45)</f>
        <v/>
      </c>
      <c r="G101" s="439"/>
      <c r="H101" s="179" t="str">
        <f>IF('INPUT DATA'!S45="","",'INPUT DATA'!S45)</f>
        <v/>
      </c>
      <c r="I101" s="88" t="str">
        <f t="shared" ca="1" si="1"/>
        <v/>
      </c>
      <c r="J101" s="224"/>
      <c r="K101" s="94"/>
      <c r="L101" s="95"/>
      <c r="M101" s="95"/>
      <c r="N101" s="95"/>
      <c r="O101" s="95"/>
      <c r="P101" s="95"/>
      <c r="Q101" s="103"/>
      <c r="R101" s="96"/>
      <c r="S101" s="203"/>
      <c r="T101" s="203"/>
      <c r="U101" s="203"/>
      <c r="V101" s="203"/>
      <c r="W101" s="203"/>
      <c r="X101" s="203"/>
      <c r="Y101" s="203"/>
      <c r="Z101" s="203"/>
      <c r="AA101" s="203"/>
      <c r="AB101" s="203"/>
      <c r="AC101" s="203"/>
    </row>
    <row r="102" spans="1:29" ht="15">
      <c r="A102" s="203"/>
      <c r="B102" s="226">
        <v>36</v>
      </c>
      <c r="C102" s="440" t="str">
        <f>IF('INPUT DATA'!Q46="","",'INPUT DATA'!Q46)</f>
        <v/>
      </c>
      <c r="D102" s="441"/>
      <c r="E102" s="442"/>
      <c r="F102" s="438" t="str">
        <f>IF('INPUT DATA'!T46="","",'INPUT DATA'!T46)</f>
        <v/>
      </c>
      <c r="G102" s="439"/>
      <c r="H102" s="179" t="str">
        <f>IF('INPUT DATA'!S46="","",'INPUT DATA'!S46)</f>
        <v/>
      </c>
      <c r="I102" s="88" t="str">
        <f t="shared" ca="1" si="1"/>
        <v/>
      </c>
      <c r="J102" s="224"/>
      <c r="K102" s="94"/>
      <c r="L102" s="95"/>
      <c r="M102" s="95"/>
      <c r="N102" s="95"/>
      <c r="O102" s="95"/>
      <c r="P102" s="95"/>
      <c r="Q102" s="103"/>
      <c r="R102" s="96"/>
      <c r="S102" s="203"/>
      <c r="T102" s="203"/>
      <c r="U102" s="203"/>
      <c r="V102" s="203"/>
      <c r="W102" s="203"/>
      <c r="X102" s="203"/>
      <c r="Y102" s="203"/>
      <c r="Z102" s="203"/>
      <c r="AA102" s="203"/>
      <c r="AB102" s="203"/>
      <c r="AC102" s="203"/>
    </row>
    <row r="103" spans="1:29" ht="15">
      <c r="A103" s="203"/>
      <c r="B103" s="226">
        <v>37</v>
      </c>
      <c r="C103" s="440" t="str">
        <f>IF('INPUT DATA'!Q47="","",'INPUT DATA'!Q47)</f>
        <v/>
      </c>
      <c r="D103" s="441"/>
      <c r="E103" s="442"/>
      <c r="F103" s="438" t="str">
        <f>IF('INPUT DATA'!T47="","",'INPUT DATA'!T47)</f>
        <v/>
      </c>
      <c r="G103" s="439"/>
      <c r="H103" s="179" t="str">
        <f>IF('INPUT DATA'!S47="","",'INPUT DATA'!S47)</f>
        <v/>
      </c>
      <c r="I103" s="88" t="str">
        <f t="shared" ca="1" si="1"/>
        <v/>
      </c>
      <c r="J103" s="224"/>
      <c r="K103" s="94"/>
      <c r="L103" s="95"/>
      <c r="M103" s="95"/>
      <c r="N103" s="95"/>
      <c r="O103" s="95"/>
      <c r="P103" s="95"/>
      <c r="Q103" s="103"/>
      <c r="R103" s="96"/>
      <c r="S103" s="203"/>
      <c r="T103" s="203"/>
      <c r="U103" s="203"/>
      <c r="V103" s="203"/>
      <c r="W103" s="203"/>
      <c r="X103" s="203"/>
      <c r="Y103" s="203"/>
      <c r="Z103" s="203"/>
      <c r="AA103" s="203"/>
      <c r="AB103" s="203"/>
      <c r="AC103" s="203"/>
    </row>
    <row r="104" spans="1:29" ht="15">
      <c r="A104" s="203"/>
      <c r="B104" s="226">
        <v>38</v>
      </c>
      <c r="C104" s="440" t="str">
        <f>IF('INPUT DATA'!Q48="","",'INPUT DATA'!Q48)</f>
        <v/>
      </c>
      <c r="D104" s="441"/>
      <c r="E104" s="442"/>
      <c r="F104" s="438" t="str">
        <f>IF('INPUT DATA'!T48="","",'INPUT DATA'!T48)</f>
        <v/>
      </c>
      <c r="G104" s="439"/>
      <c r="H104" s="179" t="str">
        <f>IF('INPUT DATA'!S48="","",'INPUT DATA'!S48)</f>
        <v/>
      </c>
      <c r="I104" s="88" t="str">
        <f t="shared" ca="1" si="1"/>
        <v/>
      </c>
      <c r="J104" s="224"/>
      <c r="K104" s="94"/>
      <c r="L104" s="95"/>
      <c r="M104" s="95"/>
      <c r="N104" s="95"/>
      <c r="O104" s="95"/>
      <c r="P104" s="95"/>
      <c r="Q104" s="103"/>
      <c r="R104" s="96"/>
      <c r="S104" s="203"/>
      <c r="T104" s="203"/>
      <c r="U104" s="203"/>
      <c r="V104" s="203"/>
      <c r="W104" s="203"/>
      <c r="X104" s="203"/>
      <c r="Y104" s="203"/>
      <c r="Z104" s="203"/>
      <c r="AA104" s="203"/>
      <c r="AB104" s="203"/>
      <c r="AC104" s="203"/>
    </row>
    <row r="105" spans="1:29" ht="15">
      <c r="A105" s="203"/>
      <c r="B105" s="226">
        <v>39</v>
      </c>
      <c r="C105" s="440" t="str">
        <f>IF('INPUT DATA'!Q49="","",'INPUT DATA'!Q49)</f>
        <v/>
      </c>
      <c r="D105" s="441"/>
      <c r="E105" s="442"/>
      <c r="F105" s="438" t="str">
        <f>IF('INPUT DATA'!T49="","",'INPUT DATA'!T49)</f>
        <v/>
      </c>
      <c r="G105" s="439"/>
      <c r="H105" s="179" t="str">
        <f>IF('INPUT DATA'!S49="","",'INPUT DATA'!S49)</f>
        <v/>
      </c>
      <c r="I105" s="88" t="str">
        <f t="shared" ca="1" si="1"/>
        <v/>
      </c>
      <c r="J105" s="224"/>
      <c r="K105" s="94"/>
      <c r="L105" s="95"/>
      <c r="M105" s="95"/>
      <c r="N105" s="95"/>
      <c r="O105" s="95"/>
      <c r="P105" s="95"/>
      <c r="Q105" s="103"/>
      <c r="R105" s="96"/>
      <c r="S105" s="203"/>
      <c r="T105" s="203"/>
      <c r="U105" s="203"/>
      <c r="V105" s="203"/>
      <c r="W105" s="203"/>
      <c r="X105" s="203"/>
      <c r="Y105" s="203"/>
      <c r="Z105" s="203"/>
      <c r="AA105" s="203"/>
      <c r="AB105" s="203"/>
      <c r="AC105" s="203"/>
    </row>
    <row r="106" spans="1:29" ht="15">
      <c r="A106" s="203"/>
      <c r="B106" s="226">
        <v>40</v>
      </c>
      <c r="C106" s="440" t="str">
        <f>IF('INPUT DATA'!Q50="","",'INPUT DATA'!Q50)</f>
        <v/>
      </c>
      <c r="D106" s="441"/>
      <c r="E106" s="442"/>
      <c r="F106" s="438" t="str">
        <f>IF('INPUT DATA'!T50="","",'INPUT DATA'!T50)</f>
        <v/>
      </c>
      <c r="G106" s="439"/>
      <c r="H106" s="179" t="str">
        <f>IF('INPUT DATA'!S50="","",'INPUT DATA'!S50)</f>
        <v/>
      </c>
      <c r="I106" s="88" t="str">
        <f t="shared" ca="1" si="1"/>
        <v/>
      </c>
      <c r="J106" s="224"/>
      <c r="K106" s="94"/>
      <c r="L106" s="95"/>
      <c r="M106" s="95"/>
      <c r="N106" s="95"/>
      <c r="O106" s="95"/>
      <c r="P106" s="95"/>
      <c r="Q106" s="103"/>
      <c r="R106" s="96"/>
      <c r="S106" s="203"/>
      <c r="T106" s="203"/>
      <c r="U106" s="203"/>
      <c r="V106" s="203"/>
      <c r="W106" s="203"/>
      <c r="X106" s="203"/>
      <c r="Y106" s="203"/>
      <c r="Z106" s="203"/>
      <c r="AA106" s="203"/>
      <c r="AB106" s="203"/>
      <c r="AC106" s="203"/>
    </row>
    <row r="107" spans="1:29" ht="15">
      <c r="A107" s="203"/>
      <c r="B107" s="226">
        <v>41</v>
      </c>
      <c r="C107" s="440" t="str">
        <f>IF('INPUT DATA'!Q51="","",'INPUT DATA'!Q51)</f>
        <v/>
      </c>
      <c r="D107" s="441"/>
      <c r="E107" s="442"/>
      <c r="F107" s="438" t="str">
        <f>IF('INPUT DATA'!T51="","",'INPUT DATA'!T51)</f>
        <v/>
      </c>
      <c r="G107" s="439"/>
      <c r="H107" s="179" t="str">
        <f>IF('INPUT DATA'!S51="","",'INPUT DATA'!S51)</f>
        <v/>
      </c>
      <c r="I107" s="88" t="str">
        <f t="shared" ca="1" si="1"/>
        <v/>
      </c>
      <c r="J107" s="224"/>
      <c r="K107" s="94"/>
      <c r="L107" s="95"/>
      <c r="M107" s="95"/>
      <c r="N107" s="95"/>
      <c r="O107" s="95"/>
      <c r="P107" s="95"/>
      <c r="Q107" s="103"/>
      <c r="R107" s="96"/>
      <c r="S107" s="203"/>
      <c r="T107" s="203"/>
      <c r="U107" s="203"/>
      <c r="V107" s="203"/>
      <c r="W107" s="203"/>
      <c r="X107" s="203"/>
      <c r="Y107" s="203"/>
      <c r="Z107" s="203"/>
      <c r="AA107" s="203"/>
      <c r="AB107" s="203"/>
      <c r="AC107" s="203"/>
    </row>
    <row r="108" spans="1:29" ht="15">
      <c r="A108" s="203"/>
      <c r="B108" s="226">
        <v>42</v>
      </c>
      <c r="C108" s="440" t="str">
        <f>IF('INPUT DATA'!Q52="","",'INPUT DATA'!Q52)</f>
        <v/>
      </c>
      <c r="D108" s="441"/>
      <c r="E108" s="442"/>
      <c r="F108" s="438" t="str">
        <f>IF('INPUT DATA'!T52="","",'INPUT DATA'!T52)</f>
        <v/>
      </c>
      <c r="G108" s="439"/>
      <c r="H108" s="179" t="str">
        <f>IF('INPUT DATA'!S52="","",'INPUT DATA'!S52)</f>
        <v/>
      </c>
      <c r="I108" s="88" t="str">
        <f t="shared" ca="1" si="1"/>
        <v/>
      </c>
      <c r="J108" s="224"/>
      <c r="K108" s="94"/>
      <c r="L108" s="95"/>
      <c r="M108" s="95"/>
      <c r="N108" s="95"/>
      <c r="O108" s="95"/>
      <c r="P108" s="95"/>
      <c r="Q108" s="103"/>
      <c r="R108" s="96"/>
      <c r="S108" s="203"/>
      <c r="T108" s="203"/>
      <c r="U108" s="203"/>
      <c r="V108" s="203"/>
      <c r="W108" s="203"/>
      <c r="X108" s="203"/>
      <c r="Y108" s="203"/>
      <c r="Z108" s="203"/>
      <c r="AA108" s="203"/>
      <c r="AB108" s="203"/>
      <c r="AC108" s="203"/>
    </row>
    <row r="109" spans="1:29" ht="15">
      <c r="A109" s="203"/>
      <c r="B109" s="226">
        <v>43</v>
      </c>
      <c r="C109" s="440" t="str">
        <f>IF('INPUT DATA'!Q53="","",'INPUT DATA'!Q53)</f>
        <v/>
      </c>
      <c r="D109" s="441"/>
      <c r="E109" s="442"/>
      <c r="F109" s="438" t="str">
        <f>IF('INPUT DATA'!T53="","",'INPUT DATA'!T53)</f>
        <v/>
      </c>
      <c r="G109" s="439"/>
      <c r="H109" s="179" t="str">
        <f>IF('INPUT DATA'!S53="","",'INPUT DATA'!S53)</f>
        <v/>
      </c>
      <c r="I109" s="88" t="str">
        <f t="shared" ca="1" si="1"/>
        <v/>
      </c>
      <c r="J109" s="224"/>
      <c r="K109" s="94"/>
      <c r="L109" s="95"/>
      <c r="M109" s="95"/>
      <c r="N109" s="95"/>
      <c r="O109" s="95"/>
      <c r="P109" s="95"/>
      <c r="Q109" s="103"/>
      <c r="R109" s="96"/>
      <c r="S109" s="203"/>
      <c r="T109" s="203"/>
      <c r="U109" s="203"/>
      <c r="V109" s="203"/>
      <c r="W109" s="203"/>
      <c r="X109" s="203"/>
      <c r="Y109" s="203"/>
      <c r="Z109" s="203"/>
      <c r="AA109" s="203"/>
      <c r="AB109" s="203"/>
      <c r="AC109" s="203"/>
    </row>
    <row r="110" spans="1:29" ht="15">
      <c r="A110" s="203"/>
      <c r="B110" s="226">
        <v>44</v>
      </c>
      <c r="C110" s="440" t="str">
        <f>IF('INPUT DATA'!Q54="","",'INPUT DATA'!Q54)</f>
        <v/>
      </c>
      <c r="D110" s="441"/>
      <c r="E110" s="442"/>
      <c r="F110" s="438" t="str">
        <f>IF('INPUT DATA'!T54="","",'INPUT DATA'!T54)</f>
        <v/>
      </c>
      <c r="G110" s="439"/>
      <c r="H110" s="179" t="str">
        <f>IF('INPUT DATA'!S54="","",'INPUT DATA'!S54)</f>
        <v/>
      </c>
      <c r="I110" s="88" t="str">
        <f t="shared" ca="1" si="1"/>
        <v/>
      </c>
      <c r="J110" s="224"/>
      <c r="K110" s="94"/>
      <c r="L110" s="95"/>
      <c r="M110" s="95"/>
      <c r="N110" s="95"/>
      <c r="O110" s="95"/>
      <c r="P110" s="95"/>
      <c r="Q110" s="103"/>
      <c r="R110" s="96"/>
      <c r="S110" s="203"/>
      <c r="T110" s="203"/>
      <c r="U110" s="203"/>
      <c r="V110" s="203"/>
      <c r="W110" s="203"/>
      <c r="X110" s="203"/>
      <c r="Y110" s="203"/>
      <c r="Z110" s="203"/>
      <c r="AA110" s="203"/>
      <c r="AB110" s="203"/>
      <c r="AC110" s="203"/>
    </row>
    <row r="111" spans="1:29" ht="15">
      <c r="A111" s="203"/>
      <c r="B111" s="226">
        <v>45</v>
      </c>
      <c r="C111" s="440" t="str">
        <f>IF('INPUT DATA'!Q55="","",'INPUT DATA'!Q55)</f>
        <v/>
      </c>
      <c r="D111" s="441"/>
      <c r="E111" s="442"/>
      <c r="F111" s="438" t="str">
        <f>IF('INPUT DATA'!T55="","",'INPUT DATA'!T55)</f>
        <v/>
      </c>
      <c r="G111" s="439"/>
      <c r="H111" s="179" t="str">
        <f>IF('INPUT DATA'!S55="","",'INPUT DATA'!S55)</f>
        <v/>
      </c>
      <c r="I111" s="88" t="str">
        <f t="shared" ca="1" si="1"/>
        <v/>
      </c>
      <c r="J111" s="224"/>
      <c r="K111" s="97"/>
      <c r="L111" s="98"/>
      <c r="M111" s="98"/>
      <c r="N111" s="98"/>
      <c r="O111" s="98"/>
      <c r="P111" s="98"/>
      <c r="Q111" s="104"/>
      <c r="R111" s="99"/>
      <c r="S111" s="203"/>
      <c r="T111" s="203"/>
      <c r="U111" s="203"/>
      <c r="V111" s="203"/>
      <c r="W111" s="203"/>
      <c r="X111" s="203"/>
      <c r="Y111" s="203"/>
      <c r="Z111" s="203"/>
      <c r="AA111" s="203"/>
      <c r="AB111" s="203"/>
      <c r="AC111" s="203"/>
    </row>
    <row r="112" spans="1:29" ht="15">
      <c r="A112" s="203"/>
      <c r="B112" s="226">
        <v>46</v>
      </c>
      <c r="C112" s="440" t="str">
        <f>IF('INPUT DATA'!Q56="","",'INPUT DATA'!Q56)</f>
        <v/>
      </c>
      <c r="D112" s="441"/>
      <c r="E112" s="442"/>
      <c r="F112" s="438" t="str">
        <f>IF('INPUT DATA'!T56="","",'INPUT DATA'!T56)</f>
        <v/>
      </c>
      <c r="G112" s="439"/>
      <c r="H112" s="179" t="str">
        <f>IF('INPUT DATA'!S56="","",'INPUT DATA'!S56)</f>
        <v/>
      </c>
      <c r="I112" s="88" t="str">
        <f t="shared" ca="1" si="1"/>
        <v/>
      </c>
      <c r="J112" s="224"/>
      <c r="K112" s="94"/>
      <c r="L112" s="95"/>
      <c r="M112" s="95"/>
      <c r="N112" s="95"/>
      <c r="O112" s="95"/>
      <c r="P112" s="95"/>
      <c r="Q112" s="103"/>
      <c r="R112" s="96"/>
      <c r="S112" s="203"/>
      <c r="T112" s="203"/>
      <c r="U112" s="203"/>
      <c r="V112" s="203"/>
      <c r="W112" s="203"/>
      <c r="X112" s="203"/>
      <c r="Y112" s="203"/>
      <c r="Z112" s="203"/>
      <c r="AA112" s="203"/>
      <c r="AB112" s="203"/>
      <c r="AC112" s="203"/>
    </row>
    <row r="113" spans="1:29" ht="15">
      <c r="A113" s="203"/>
      <c r="B113" s="226">
        <v>47</v>
      </c>
      <c r="C113" s="440" t="str">
        <f>IF('INPUT DATA'!Q57="","",'INPUT DATA'!Q57)</f>
        <v/>
      </c>
      <c r="D113" s="441"/>
      <c r="E113" s="442"/>
      <c r="F113" s="438" t="str">
        <f>IF('INPUT DATA'!T57="","",'INPUT DATA'!T57)</f>
        <v/>
      </c>
      <c r="G113" s="439"/>
      <c r="H113" s="179" t="str">
        <f>IF('INPUT DATA'!S57="","",'INPUT DATA'!S57)</f>
        <v/>
      </c>
      <c r="I113" s="88" t="str">
        <f t="shared" ca="1" si="1"/>
        <v/>
      </c>
      <c r="J113" s="224"/>
      <c r="K113" s="94"/>
      <c r="L113" s="95"/>
      <c r="M113" s="95"/>
      <c r="N113" s="95"/>
      <c r="O113" s="95"/>
      <c r="P113" s="95"/>
      <c r="Q113" s="103"/>
      <c r="R113" s="96"/>
      <c r="S113" s="203"/>
      <c r="T113" s="203"/>
      <c r="U113" s="203"/>
      <c r="V113" s="203"/>
      <c r="W113" s="203"/>
      <c r="X113" s="203"/>
      <c r="Y113" s="203"/>
      <c r="Z113" s="203"/>
      <c r="AA113" s="203"/>
      <c r="AB113" s="203"/>
      <c r="AC113" s="203"/>
    </row>
    <row r="114" spans="1:29" ht="15">
      <c r="A114" s="203"/>
      <c r="B114" s="226">
        <v>48</v>
      </c>
      <c r="C114" s="440" t="str">
        <f>IF('INPUT DATA'!Q58="","",'INPUT DATA'!Q58)</f>
        <v/>
      </c>
      <c r="D114" s="441"/>
      <c r="E114" s="442"/>
      <c r="F114" s="438" t="str">
        <f>IF('INPUT DATA'!T58="","",'INPUT DATA'!T58)</f>
        <v/>
      </c>
      <c r="G114" s="439"/>
      <c r="H114" s="179" t="str">
        <f>IF('INPUT DATA'!S58="","",'INPUT DATA'!S58)</f>
        <v/>
      </c>
      <c r="I114" s="88" t="str">
        <f t="shared" ca="1" si="1"/>
        <v/>
      </c>
      <c r="J114" s="224"/>
      <c r="K114" s="94"/>
      <c r="L114" s="95"/>
      <c r="M114" s="95"/>
      <c r="N114" s="95"/>
      <c r="O114" s="95"/>
      <c r="P114" s="95"/>
      <c r="Q114" s="103"/>
      <c r="R114" s="96"/>
      <c r="S114" s="203"/>
      <c r="T114" s="203"/>
      <c r="U114" s="203"/>
      <c r="V114" s="203"/>
      <c r="W114" s="203"/>
      <c r="X114" s="203"/>
      <c r="Y114" s="203"/>
      <c r="Z114" s="203"/>
      <c r="AA114" s="203"/>
      <c r="AB114" s="203"/>
      <c r="AC114" s="203"/>
    </row>
    <row r="115" spans="1:29" ht="15">
      <c r="A115" s="203"/>
      <c r="B115" s="226">
        <v>49</v>
      </c>
      <c r="C115" s="440" t="str">
        <f>IF('INPUT DATA'!Q59="","",'INPUT DATA'!Q59)</f>
        <v/>
      </c>
      <c r="D115" s="441"/>
      <c r="E115" s="442"/>
      <c r="F115" s="438" t="str">
        <f>IF('INPUT DATA'!T59="","",'INPUT DATA'!T59)</f>
        <v/>
      </c>
      <c r="G115" s="439"/>
      <c r="H115" s="179" t="str">
        <f>IF('INPUT DATA'!S59="","",'INPUT DATA'!S59)</f>
        <v/>
      </c>
      <c r="I115" s="88" t="str">
        <f t="shared" ca="1" si="1"/>
        <v/>
      </c>
      <c r="J115" s="224"/>
      <c r="K115" s="94"/>
      <c r="L115" s="95"/>
      <c r="M115" s="95"/>
      <c r="N115" s="95"/>
      <c r="O115" s="95"/>
      <c r="P115" s="95"/>
      <c r="Q115" s="103"/>
      <c r="R115" s="96"/>
      <c r="S115" s="203"/>
      <c r="T115" s="203"/>
      <c r="U115" s="203"/>
      <c r="V115" s="203"/>
      <c r="W115" s="203"/>
      <c r="X115" s="203"/>
      <c r="Y115" s="203"/>
      <c r="Z115" s="203"/>
      <c r="AA115" s="203"/>
      <c r="AB115" s="203"/>
      <c r="AC115" s="203"/>
    </row>
    <row r="116" spans="1:29" ht="15.6" thickBot="1">
      <c r="A116" s="203"/>
      <c r="B116" s="237">
        <v>50</v>
      </c>
      <c r="C116" s="448" t="str">
        <f>IF('INPUT DATA'!Q60="","",'INPUT DATA'!Q60)</f>
        <v/>
      </c>
      <c r="D116" s="449"/>
      <c r="E116" s="450"/>
      <c r="F116" s="451" t="str">
        <f>IF('INPUT DATA'!T60="","",'INPUT DATA'!T60)</f>
        <v/>
      </c>
      <c r="G116" s="452"/>
      <c r="H116" s="180" t="str">
        <f>IF('INPUT DATA'!S60="","",'INPUT DATA'!S60)</f>
        <v/>
      </c>
      <c r="I116" s="89" t="str">
        <f t="shared" ca="1" si="1"/>
        <v/>
      </c>
      <c r="J116" s="228"/>
      <c r="K116" s="105"/>
      <c r="L116" s="106"/>
      <c r="M116" s="106"/>
      <c r="N116" s="106"/>
      <c r="O116" s="106"/>
      <c r="P116" s="106"/>
      <c r="Q116" s="107"/>
      <c r="R116" s="108"/>
      <c r="S116" s="203"/>
      <c r="T116" s="203"/>
      <c r="U116" s="203"/>
      <c r="V116" s="203"/>
      <c r="W116" s="203"/>
      <c r="X116" s="203"/>
      <c r="Y116" s="203"/>
      <c r="Z116" s="203"/>
      <c r="AA116" s="203"/>
      <c r="AB116" s="203"/>
      <c r="AC116" s="203"/>
    </row>
    <row r="117" spans="1:29" ht="13.2">
      <c r="A117" s="202"/>
      <c r="B117" s="202"/>
      <c r="C117" s="201"/>
      <c r="D117" s="202"/>
      <c r="E117" s="202"/>
      <c r="F117" s="202"/>
      <c r="G117" s="202"/>
      <c r="H117" s="202"/>
      <c r="I117" s="202"/>
      <c r="J117" s="202"/>
      <c r="K117" s="202"/>
      <c r="L117" s="202"/>
      <c r="M117" s="202"/>
      <c r="N117" s="202"/>
      <c r="O117" s="202"/>
      <c r="P117" s="202"/>
      <c r="Q117" s="202"/>
      <c r="R117" s="202"/>
      <c r="S117" s="202"/>
      <c r="T117" s="202"/>
      <c r="U117" s="202"/>
      <c r="V117" s="202"/>
      <c r="W117" s="202"/>
      <c r="X117" s="202"/>
      <c r="Y117" s="202"/>
      <c r="Z117" s="202"/>
      <c r="AA117" s="202"/>
      <c r="AB117" s="202"/>
      <c r="AC117" s="202"/>
    </row>
    <row r="118" spans="1:29" ht="13.2">
      <c r="A118" s="202"/>
      <c r="B118" s="202"/>
      <c r="C118" s="201"/>
      <c r="D118" s="202"/>
      <c r="E118" s="202"/>
      <c r="F118" s="202"/>
      <c r="G118" s="202"/>
      <c r="H118" s="202"/>
      <c r="I118" s="202"/>
      <c r="J118" s="202"/>
      <c r="K118" s="202"/>
      <c r="L118" s="202"/>
      <c r="M118" s="202"/>
      <c r="N118" s="202"/>
      <c r="O118" s="202"/>
      <c r="P118" s="202"/>
      <c r="Q118" s="202"/>
      <c r="R118" s="202"/>
      <c r="S118" s="202"/>
      <c r="T118" s="202"/>
      <c r="U118" s="202"/>
      <c r="V118" s="202"/>
      <c r="W118" s="202"/>
      <c r="X118" s="202"/>
      <c r="Y118" s="202"/>
      <c r="Z118" s="202"/>
      <c r="AA118" s="202"/>
      <c r="AB118" s="202"/>
      <c r="AC118" s="202"/>
    </row>
    <row r="119" spans="1:29" ht="13.2">
      <c r="A119" s="202"/>
      <c r="B119" s="202"/>
      <c r="C119" s="201"/>
      <c r="D119" s="202"/>
      <c r="E119" s="202"/>
      <c r="F119" s="202"/>
      <c r="G119" s="202"/>
      <c r="H119" s="202"/>
      <c r="I119" s="202"/>
      <c r="J119" s="202"/>
      <c r="K119" s="202"/>
      <c r="L119" s="202"/>
      <c r="M119" s="202"/>
      <c r="N119" s="202"/>
      <c r="O119" s="202"/>
      <c r="P119" s="202"/>
      <c r="Q119" s="202"/>
      <c r="R119" s="202"/>
      <c r="S119" s="202"/>
      <c r="T119" s="202"/>
      <c r="U119" s="202"/>
      <c r="V119" s="202"/>
      <c r="W119" s="202"/>
      <c r="X119" s="202"/>
      <c r="Y119" s="202"/>
      <c r="Z119" s="202"/>
      <c r="AA119" s="202"/>
      <c r="AB119" s="202"/>
      <c r="AC119" s="202"/>
    </row>
    <row r="120" spans="1:29" ht="13.2">
      <c r="A120" s="202"/>
      <c r="B120" s="202"/>
      <c r="C120" s="201"/>
      <c r="D120" s="202"/>
      <c r="E120" s="202"/>
      <c r="F120" s="202"/>
      <c r="G120" s="202"/>
      <c r="H120" s="202"/>
      <c r="I120" s="202"/>
      <c r="J120" s="202"/>
      <c r="K120" s="202"/>
      <c r="L120" s="202"/>
      <c r="M120" s="202"/>
      <c r="N120" s="202"/>
      <c r="O120" s="202"/>
      <c r="P120" s="202"/>
      <c r="Q120" s="202"/>
      <c r="R120" s="202"/>
      <c r="S120" s="202"/>
      <c r="T120" s="202"/>
      <c r="U120" s="202"/>
      <c r="V120" s="202"/>
      <c r="W120" s="202"/>
      <c r="X120" s="202"/>
      <c r="Y120" s="202"/>
      <c r="Z120" s="202"/>
      <c r="AA120" s="202"/>
      <c r="AB120" s="202"/>
      <c r="AC120" s="202"/>
    </row>
    <row r="121" spans="1:29" ht="13.2">
      <c r="A121" s="202"/>
      <c r="B121" s="202"/>
      <c r="C121" s="201"/>
      <c r="D121" s="202"/>
      <c r="E121" s="202"/>
      <c r="F121" s="202"/>
      <c r="G121" s="202"/>
      <c r="H121" s="202"/>
      <c r="I121" s="202"/>
      <c r="J121" s="202"/>
      <c r="K121" s="202"/>
      <c r="L121" s="202"/>
      <c r="M121" s="202"/>
      <c r="N121" s="202"/>
      <c r="O121" s="202"/>
      <c r="P121" s="202"/>
      <c r="Q121" s="202"/>
      <c r="R121" s="202"/>
      <c r="S121" s="202"/>
      <c r="T121" s="202"/>
      <c r="U121" s="202"/>
      <c r="V121" s="202"/>
      <c r="W121" s="202"/>
      <c r="X121" s="202"/>
      <c r="Y121" s="202"/>
      <c r="Z121" s="202"/>
      <c r="AA121" s="202"/>
      <c r="AB121" s="202"/>
      <c r="AC121" s="202"/>
    </row>
    <row r="122" spans="1:29" ht="13.2">
      <c r="A122" s="202"/>
      <c r="B122" s="202"/>
      <c r="C122" s="201"/>
      <c r="D122" s="202"/>
      <c r="E122" s="202"/>
      <c r="F122" s="202"/>
      <c r="G122" s="202"/>
      <c r="H122" s="202"/>
      <c r="I122" s="202"/>
      <c r="J122" s="202"/>
      <c r="K122" s="202"/>
      <c r="L122" s="202"/>
      <c r="M122" s="202"/>
      <c r="N122" s="202"/>
      <c r="O122" s="202"/>
      <c r="P122" s="202"/>
      <c r="Q122" s="202"/>
      <c r="R122" s="202"/>
      <c r="S122" s="202"/>
      <c r="T122" s="202"/>
      <c r="U122" s="202"/>
      <c r="V122" s="202"/>
      <c r="W122" s="202"/>
      <c r="X122" s="202"/>
      <c r="Y122" s="202"/>
      <c r="Z122" s="202"/>
      <c r="AA122" s="202"/>
      <c r="AB122" s="202"/>
      <c r="AC122" s="202"/>
    </row>
    <row r="123" spans="1:29" ht="13.2">
      <c r="A123" s="202"/>
      <c r="B123" s="202"/>
      <c r="C123" s="201"/>
      <c r="D123" s="202"/>
      <c r="E123" s="202"/>
      <c r="F123" s="202"/>
      <c r="G123" s="202"/>
      <c r="H123" s="202"/>
      <c r="I123" s="202"/>
      <c r="J123" s="202"/>
      <c r="K123" s="202"/>
      <c r="L123" s="202"/>
      <c r="M123" s="202"/>
      <c r="N123" s="202"/>
      <c r="O123" s="202"/>
      <c r="P123" s="202"/>
      <c r="Q123" s="202"/>
      <c r="R123" s="202"/>
      <c r="S123" s="202"/>
      <c r="T123" s="202"/>
      <c r="U123" s="202"/>
      <c r="V123" s="202"/>
      <c r="W123" s="202"/>
      <c r="X123" s="202"/>
      <c r="Y123" s="202"/>
      <c r="Z123" s="202"/>
      <c r="AA123" s="202"/>
      <c r="AB123" s="202"/>
      <c r="AC123" s="202"/>
    </row>
    <row r="124" spans="1:29" ht="13.2">
      <c r="A124" s="202"/>
      <c r="B124" s="202"/>
      <c r="C124" s="201"/>
      <c r="D124" s="202"/>
      <c r="E124" s="202"/>
      <c r="F124" s="202"/>
      <c r="G124" s="202"/>
      <c r="H124" s="202"/>
      <c r="I124" s="202"/>
      <c r="J124" s="202"/>
      <c r="K124" s="202"/>
      <c r="L124" s="202"/>
      <c r="M124" s="202"/>
      <c r="N124" s="202"/>
      <c r="O124" s="202"/>
      <c r="P124" s="202"/>
      <c r="Q124" s="202"/>
      <c r="R124" s="202"/>
      <c r="S124" s="202"/>
      <c r="T124" s="202"/>
      <c r="U124" s="202"/>
      <c r="V124" s="202"/>
      <c r="W124" s="202"/>
      <c r="X124" s="202"/>
      <c r="Y124" s="202"/>
      <c r="Z124" s="202"/>
      <c r="AA124" s="202"/>
      <c r="AB124" s="202"/>
      <c r="AC124" s="202"/>
    </row>
    <row r="125" spans="1:29" ht="13.2">
      <c r="A125" s="202"/>
      <c r="B125" s="202"/>
      <c r="C125" s="201"/>
      <c r="D125" s="202"/>
      <c r="E125" s="202"/>
      <c r="F125" s="202"/>
      <c r="G125" s="202"/>
      <c r="H125" s="202"/>
      <c r="I125" s="202"/>
      <c r="J125" s="202"/>
      <c r="K125" s="202"/>
      <c r="L125" s="202"/>
      <c r="M125" s="202"/>
      <c r="N125" s="202"/>
      <c r="O125" s="202"/>
      <c r="P125" s="202"/>
      <c r="Q125" s="202"/>
      <c r="R125" s="202"/>
      <c r="S125" s="202"/>
      <c r="T125" s="202"/>
      <c r="U125" s="202"/>
      <c r="V125" s="202"/>
      <c r="W125" s="202"/>
      <c r="X125" s="202"/>
      <c r="Y125" s="202"/>
      <c r="Z125" s="202"/>
      <c r="AA125" s="202"/>
      <c r="AB125" s="202"/>
      <c r="AC125" s="202"/>
    </row>
    <row r="126" spans="1:29" ht="13.2">
      <c r="A126" s="202"/>
      <c r="B126" s="202"/>
      <c r="C126" s="201"/>
      <c r="D126" s="202"/>
      <c r="E126" s="202"/>
      <c r="F126" s="202"/>
      <c r="G126" s="202"/>
      <c r="H126" s="202"/>
      <c r="I126" s="202"/>
      <c r="J126" s="202"/>
      <c r="K126" s="202"/>
      <c r="L126" s="202"/>
      <c r="M126" s="202"/>
      <c r="N126" s="202"/>
      <c r="O126" s="202"/>
      <c r="P126" s="202"/>
      <c r="Q126" s="202"/>
      <c r="R126" s="202"/>
      <c r="S126" s="202"/>
      <c r="T126" s="202"/>
      <c r="U126" s="202"/>
      <c r="V126" s="202"/>
      <c r="W126" s="202"/>
      <c r="X126" s="202"/>
      <c r="Y126" s="202"/>
      <c r="Z126" s="202"/>
      <c r="AA126" s="202"/>
      <c r="AB126" s="202"/>
      <c r="AC126" s="202"/>
    </row>
    <row r="127" spans="1:29" ht="13.2">
      <c r="A127" s="202"/>
      <c r="B127" s="202"/>
      <c r="C127" s="201"/>
      <c r="D127" s="202"/>
      <c r="E127" s="202"/>
      <c r="F127" s="202"/>
      <c r="G127" s="202"/>
      <c r="H127" s="202"/>
      <c r="I127" s="202"/>
      <c r="J127" s="202"/>
      <c r="K127" s="202"/>
      <c r="L127" s="202"/>
      <c r="M127" s="202"/>
      <c r="N127" s="202"/>
      <c r="O127" s="202"/>
      <c r="P127" s="202"/>
      <c r="Q127" s="202"/>
      <c r="R127" s="202"/>
      <c r="S127" s="202"/>
      <c r="T127" s="202"/>
      <c r="U127" s="202"/>
      <c r="V127" s="202"/>
      <c r="W127" s="202"/>
      <c r="X127" s="202"/>
      <c r="Y127" s="202"/>
      <c r="Z127" s="202"/>
      <c r="AA127" s="202"/>
      <c r="AB127" s="202"/>
      <c r="AC127" s="202"/>
    </row>
  </sheetData>
  <sheetProtection algorithmName="SHA-512" hashValue="p3czQEOW8mwqSQJUM8wS/Gam+U3MSrgHt93J8E5V0W1UiXtX2TlBEuE/wGjGM8zrMMLTAXtkTMcsFENPlMRmAw==" saltValue="O1+3xI92x+2mqnuGgSw+rw==" spinCount="100000" sheet="1" objects="1" scenarios="1" formatCells="0" formatColumns="0" formatRows="0"/>
  <mergeCells count="229">
    <mergeCell ref="B8:R8"/>
    <mergeCell ref="B9:E10"/>
    <mergeCell ref="G9:K9"/>
    <mergeCell ref="L9:N9"/>
    <mergeCell ref="O9:R9"/>
    <mergeCell ref="G10:K10"/>
    <mergeCell ref="L10:N10"/>
    <mergeCell ref="O10:R10"/>
    <mergeCell ref="A1:S4"/>
    <mergeCell ref="E5:G5"/>
    <mergeCell ref="E6:G6"/>
    <mergeCell ref="K12:Q12"/>
    <mergeCell ref="K13:M13"/>
    <mergeCell ref="N13:N14"/>
    <mergeCell ref="O13:O14"/>
    <mergeCell ref="P13:P14"/>
    <mergeCell ref="Q13:Q14"/>
    <mergeCell ref="R13:R14"/>
    <mergeCell ref="B11:E14"/>
    <mergeCell ref="F11:G14"/>
    <mergeCell ref="H11:H14"/>
    <mergeCell ref="I11:I14"/>
    <mergeCell ref="J11:J14"/>
    <mergeCell ref="K11:R11"/>
    <mergeCell ref="C19:E19"/>
    <mergeCell ref="F19:G19"/>
    <mergeCell ref="C20:E20"/>
    <mergeCell ref="F20:G20"/>
    <mergeCell ref="C21:E21"/>
    <mergeCell ref="F21:G21"/>
    <mergeCell ref="B15:R15"/>
    <mergeCell ref="C16:E16"/>
    <mergeCell ref="F16:G16"/>
    <mergeCell ref="C17:E17"/>
    <mergeCell ref="F17:G17"/>
    <mergeCell ref="C18:E18"/>
    <mergeCell ref="F18:G18"/>
    <mergeCell ref="C25:E25"/>
    <mergeCell ref="F25:G25"/>
    <mergeCell ref="C26:E26"/>
    <mergeCell ref="F26:G26"/>
    <mergeCell ref="C27:E27"/>
    <mergeCell ref="F27:G27"/>
    <mergeCell ref="C22:E22"/>
    <mergeCell ref="F22:G22"/>
    <mergeCell ref="C23:E23"/>
    <mergeCell ref="F23:G23"/>
    <mergeCell ref="C24:E24"/>
    <mergeCell ref="F24:G24"/>
    <mergeCell ref="C31:E31"/>
    <mergeCell ref="F31:G31"/>
    <mergeCell ref="C32:E32"/>
    <mergeCell ref="F32:G32"/>
    <mergeCell ref="C33:E33"/>
    <mergeCell ref="F33:G33"/>
    <mergeCell ref="C28:E28"/>
    <mergeCell ref="F28:G28"/>
    <mergeCell ref="C29:E29"/>
    <mergeCell ref="F29:G29"/>
    <mergeCell ref="C30:E30"/>
    <mergeCell ref="F30:G30"/>
    <mergeCell ref="C37:E37"/>
    <mergeCell ref="F37:G37"/>
    <mergeCell ref="C38:E38"/>
    <mergeCell ref="F38:G38"/>
    <mergeCell ref="C39:E39"/>
    <mergeCell ref="F39:G39"/>
    <mergeCell ref="C34:E34"/>
    <mergeCell ref="F34:G34"/>
    <mergeCell ref="C35:E35"/>
    <mergeCell ref="F35:G35"/>
    <mergeCell ref="C36:E36"/>
    <mergeCell ref="F36:G36"/>
    <mergeCell ref="C43:E43"/>
    <mergeCell ref="F43:G43"/>
    <mergeCell ref="C44:E44"/>
    <mergeCell ref="F44:G44"/>
    <mergeCell ref="C45:E45"/>
    <mergeCell ref="F45:G45"/>
    <mergeCell ref="C40:E40"/>
    <mergeCell ref="F40:G40"/>
    <mergeCell ref="C41:E41"/>
    <mergeCell ref="F41:G41"/>
    <mergeCell ref="C42:E42"/>
    <mergeCell ref="F42:G42"/>
    <mergeCell ref="C49:E49"/>
    <mergeCell ref="F49:G49"/>
    <mergeCell ref="C50:E50"/>
    <mergeCell ref="F50:G50"/>
    <mergeCell ref="C51:E51"/>
    <mergeCell ref="F51:G51"/>
    <mergeCell ref="C46:E46"/>
    <mergeCell ref="F46:G46"/>
    <mergeCell ref="C47:E47"/>
    <mergeCell ref="F47:G47"/>
    <mergeCell ref="C48:E48"/>
    <mergeCell ref="F48:G48"/>
    <mergeCell ref="C55:E55"/>
    <mergeCell ref="F55:G55"/>
    <mergeCell ref="C56:E56"/>
    <mergeCell ref="F56:G56"/>
    <mergeCell ref="C57:E57"/>
    <mergeCell ref="F57:G57"/>
    <mergeCell ref="C52:E52"/>
    <mergeCell ref="F52:G52"/>
    <mergeCell ref="C53:E53"/>
    <mergeCell ref="F53:G53"/>
    <mergeCell ref="C54:E54"/>
    <mergeCell ref="F54:G54"/>
    <mergeCell ref="C61:E61"/>
    <mergeCell ref="F61:G61"/>
    <mergeCell ref="C62:E62"/>
    <mergeCell ref="F62:G62"/>
    <mergeCell ref="C63:E63"/>
    <mergeCell ref="F63:G63"/>
    <mergeCell ref="C58:E58"/>
    <mergeCell ref="F58:G58"/>
    <mergeCell ref="C59:E59"/>
    <mergeCell ref="F59:G59"/>
    <mergeCell ref="C60:E60"/>
    <mergeCell ref="F60:G60"/>
    <mergeCell ref="C68:E68"/>
    <mergeCell ref="F68:G68"/>
    <mergeCell ref="C69:E69"/>
    <mergeCell ref="F69:G69"/>
    <mergeCell ref="C70:E70"/>
    <mergeCell ref="F70:G70"/>
    <mergeCell ref="C64:E64"/>
    <mergeCell ref="F64:G64"/>
    <mergeCell ref="C65:E65"/>
    <mergeCell ref="F65:G65"/>
    <mergeCell ref="C67:E67"/>
    <mergeCell ref="F67:G67"/>
    <mergeCell ref="C74:E74"/>
    <mergeCell ref="F74:G74"/>
    <mergeCell ref="C75:E75"/>
    <mergeCell ref="F75:G75"/>
    <mergeCell ref="C76:E76"/>
    <mergeCell ref="F76:G76"/>
    <mergeCell ref="C71:E71"/>
    <mergeCell ref="F71:G71"/>
    <mergeCell ref="C72:E72"/>
    <mergeCell ref="F72:G72"/>
    <mergeCell ref="C73:E73"/>
    <mergeCell ref="F73:G73"/>
    <mergeCell ref="C80:E80"/>
    <mergeCell ref="F80:G80"/>
    <mergeCell ref="C81:E81"/>
    <mergeCell ref="F81:G81"/>
    <mergeCell ref="C82:E82"/>
    <mergeCell ref="F82:G82"/>
    <mergeCell ref="C77:E77"/>
    <mergeCell ref="F77:G77"/>
    <mergeCell ref="C78:E78"/>
    <mergeCell ref="F78:G78"/>
    <mergeCell ref="C79:E79"/>
    <mergeCell ref="F79:G79"/>
    <mergeCell ref="C86:E86"/>
    <mergeCell ref="F86:G86"/>
    <mergeCell ref="C87:E87"/>
    <mergeCell ref="F87:G87"/>
    <mergeCell ref="C88:E88"/>
    <mergeCell ref="F88:G88"/>
    <mergeCell ref="C83:E83"/>
    <mergeCell ref="F83:G83"/>
    <mergeCell ref="C84:E84"/>
    <mergeCell ref="F84:G84"/>
    <mergeCell ref="C85:E85"/>
    <mergeCell ref="F85:G85"/>
    <mergeCell ref="C92:E92"/>
    <mergeCell ref="F92:G92"/>
    <mergeCell ref="C93:E93"/>
    <mergeCell ref="F93:G93"/>
    <mergeCell ref="C94:E94"/>
    <mergeCell ref="F94:G94"/>
    <mergeCell ref="C89:E89"/>
    <mergeCell ref="F89:G89"/>
    <mergeCell ref="C90:E90"/>
    <mergeCell ref="F90:G90"/>
    <mergeCell ref="C91:E91"/>
    <mergeCell ref="F91:G91"/>
    <mergeCell ref="C98:E98"/>
    <mergeCell ref="F98:G98"/>
    <mergeCell ref="C99:E99"/>
    <mergeCell ref="F99:G99"/>
    <mergeCell ref="C100:E100"/>
    <mergeCell ref="F100:G100"/>
    <mergeCell ref="C95:E95"/>
    <mergeCell ref="F95:G95"/>
    <mergeCell ref="C96:E96"/>
    <mergeCell ref="F96:G96"/>
    <mergeCell ref="C97:E97"/>
    <mergeCell ref="F97:G97"/>
    <mergeCell ref="C104:E104"/>
    <mergeCell ref="F104:G104"/>
    <mergeCell ref="C105:E105"/>
    <mergeCell ref="F105:G105"/>
    <mergeCell ref="C106:E106"/>
    <mergeCell ref="F106:G106"/>
    <mergeCell ref="C101:E101"/>
    <mergeCell ref="F101:G101"/>
    <mergeCell ref="C102:E102"/>
    <mergeCell ref="F102:G102"/>
    <mergeCell ref="C103:E103"/>
    <mergeCell ref="F103:G103"/>
    <mergeCell ref="C116:E116"/>
    <mergeCell ref="F116:G116"/>
    <mergeCell ref="J5:M5"/>
    <mergeCell ref="J6:L6"/>
    <mergeCell ref="M6:N6"/>
    <mergeCell ref="O6:P6"/>
    <mergeCell ref="C113:E113"/>
    <mergeCell ref="F113:G113"/>
    <mergeCell ref="C114:E114"/>
    <mergeCell ref="F114:G114"/>
    <mergeCell ref="C115:E115"/>
    <mergeCell ref="F115:G115"/>
    <mergeCell ref="C110:E110"/>
    <mergeCell ref="F110:G110"/>
    <mergeCell ref="C111:E111"/>
    <mergeCell ref="F111:G111"/>
    <mergeCell ref="C112:E112"/>
    <mergeCell ref="F112:G112"/>
    <mergeCell ref="C107:E107"/>
    <mergeCell ref="F107:G107"/>
    <mergeCell ref="C108:E108"/>
    <mergeCell ref="F108:G108"/>
    <mergeCell ref="C109:E109"/>
    <mergeCell ref="F109:G109"/>
  </mergeCells>
  <dataValidations count="1">
    <dataValidation type="list" allowBlank="1" showInputMessage="1" showErrorMessage="1" sqref="J16:J65 J67:J116" xr:uid="{B8BE90CA-7650-4C07-8C3C-C2F938D45705}">
      <formula1>"M, F"</formula1>
    </dataValidation>
  </dataValidations>
  <pageMargins left="0.7" right="0.7" top="0.75" bottom="0.75" header="0.3" footer="0.3"/>
  <pageSetup paperSize="9" scale="7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604F8-688A-4A87-B7DF-F13D28E77D9B}">
  <sheetPr>
    <tabColor theme="8"/>
    <outlinePr summaryBelow="0" summaryRight="0"/>
    <pageSetUpPr fitToPage="1"/>
  </sheetPr>
  <dimension ref="A1:AC127"/>
  <sheetViews>
    <sheetView showGridLines="0" zoomScale="85" zoomScaleNormal="85" workbookViewId="0">
      <selection activeCell="A7" sqref="A7"/>
    </sheetView>
  </sheetViews>
  <sheetFormatPr defaultColWidth="12.6640625" defaultRowHeight="15.75" customHeight="1"/>
  <cols>
    <col min="1" max="2" width="3.88671875" style="192" customWidth="1"/>
    <col min="3" max="3" width="13.109375" style="192" customWidth="1"/>
    <col min="4" max="5" width="12.6640625" style="192"/>
    <col min="6" max="6" width="16.21875" style="192" customWidth="1"/>
    <col min="7" max="7" width="19.44140625" style="192" customWidth="1"/>
    <col min="8" max="8" width="12.6640625" style="192"/>
    <col min="9" max="10" width="5.109375" style="192" customWidth="1"/>
    <col min="11" max="11" width="13.88671875" style="192" customWidth="1"/>
    <col min="12" max="13" width="13.77734375" style="192" customWidth="1"/>
    <col min="14" max="14" width="12.77734375" style="192" customWidth="1"/>
    <col min="15" max="15" width="11.33203125" style="192" customWidth="1"/>
    <col min="16" max="16" width="13.44140625" style="192" customWidth="1"/>
    <col min="17" max="18" width="9.44140625" style="192" customWidth="1"/>
    <col min="19" max="19" width="3.88671875" style="192" customWidth="1"/>
    <col min="20" max="16384" width="12.6640625" style="192"/>
  </cols>
  <sheetData>
    <row r="1" spans="1:29" ht="13.2">
      <c r="A1" s="365" t="s">
        <v>114</v>
      </c>
      <c r="B1" s="244"/>
      <c r="C1" s="244"/>
      <c r="D1" s="244"/>
      <c r="E1" s="244"/>
      <c r="F1" s="244"/>
      <c r="G1" s="244"/>
      <c r="H1" s="244"/>
      <c r="I1" s="244"/>
      <c r="J1" s="244"/>
      <c r="K1" s="244"/>
      <c r="L1" s="244"/>
      <c r="M1" s="244"/>
      <c r="N1" s="244"/>
      <c r="O1" s="244"/>
      <c r="P1" s="244"/>
      <c r="Q1" s="244"/>
      <c r="R1" s="244"/>
      <c r="S1" s="244"/>
      <c r="T1" s="201"/>
      <c r="U1" s="201"/>
      <c r="V1" s="201"/>
      <c r="W1" s="201"/>
      <c r="X1" s="201"/>
      <c r="Y1" s="201"/>
      <c r="Z1" s="201"/>
      <c r="AA1" s="201"/>
      <c r="AB1" s="201"/>
      <c r="AC1" s="201"/>
    </row>
    <row r="2" spans="1:29" ht="13.2">
      <c r="A2" s="244"/>
      <c r="B2" s="244"/>
      <c r="C2" s="244"/>
      <c r="D2" s="244"/>
      <c r="E2" s="244"/>
      <c r="F2" s="244"/>
      <c r="G2" s="244"/>
      <c r="H2" s="244"/>
      <c r="I2" s="244"/>
      <c r="J2" s="244"/>
      <c r="K2" s="244"/>
      <c r="L2" s="244"/>
      <c r="M2" s="244"/>
      <c r="N2" s="244"/>
      <c r="O2" s="244"/>
      <c r="P2" s="244"/>
      <c r="Q2" s="244"/>
      <c r="R2" s="244"/>
      <c r="S2" s="244"/>
      <c r="T2" s="201"/>
      <c r="U2" s="201"/>
      <c r="V2" s="201"/>
      <c r="W2" s="201"/>
      <c r="X2" s="201"/>
      <c r="Y2" s="201"/>
      <c r="Z2" s="201"/>
      <c r="AA2" s="201"/>
      <c r="AB2" s="201"/>
      <c r="AC2" s="201"/>
    </row>
    <row r="3" spans="1:29" ht="13.2">
      <c r="A3" s="244"/>
      <c r="B3" s="244"/>
      <c r="C3" s="244"/>
      <c r="D3" s="244"/>
      <c r="E3" s="244"/>
      <c r="F3" s="244"/>
      <c r="G3" s="244"/>
      <c r="H3" s="244"/>
      <c r="I3" s="244"/>
      <c r="J3" s="244"/>
      <c r="K3" s="244"/>
      <c r="L3" s="244"/>
      <c r="M3" s="244"/>
      <c r="N3" s="244"/>
      <c r="O3" s="244"/>
      <c r="P3" s="244"/>
      <c r="Q3" s="244"/>
      <c r="R3" s="244"/>
      <c r="S3" s="244"/>
      <c r="T3" s="201"/>
      <c r="U3" s="201"/>
      <c r="V3" s="201"/>
      <c r="W3" s="201"/>
      <c r="X3" s="201"/>
      <c r="Y3" s="201"/>
      <c r="Z3" s="201"/>
      <c r="AA3" s="201"/>
      <c r="AB3" s="201"/>
      <c r="AC3" s="201"/>
    </row>
    <row r="4" spans="1:29" ht="13.8" thickBot="1">
      <c r="A4" s="244"/>
      <c r="B4" s="244"/>
      <c r="C4" s="244"/>
      <c r="D4" s="244"/>
      <c r="E4" s="244"/>
      <c r="F4" s="244"/>
      <c r="G4" s="244"/>
      <c r="H4" s="244"/>
      <c r="I4" s="244"/>
      <c r="J4" s="244"/>
      <c r="K4" s="244"/>
      <c r="L4" s="244"/>
      <c r="M4" s="244"/>
      <c r="N4" s="244"/>
      <c r="O4" s="244"/>
      <c r="P4" s="244"/>
      <c r="Q4" s="244"/>
      <c r="R4" s="244"/>
      <c r="S4" s="244"/>
      <c r="T4" s="202"/>
      <c r="U4" s="202"/>
      <c r="V4" s="202"/>
      <c r="W4" s="202"/>
      <c r="X4" s="202"/>
      <c r="Y4" s="202"/>
      <c r="Z4" s="202"/>
      <c r="AA4" s="202"/>
      <c r="AB4" s="202"/>
      <c r="AC4" s="202"/>
    </row>
    <row r="5" spans="1:29" ht="16.2" thickBot="1">
      <c r="A5" s="203"/>
      <c r="B5" s="204"/>
      <c r="C5" s="205"/>
      <c r="D5" s="206" t="s">
        <v>2</v>
      </c>
      <c r="E5" s="366" t="str">
        <f>IF('INPUT DATA'!F10="","",'INPUT DATA'!F10)</f>
        <v/>
      </c>
      <c r="F5" s="367"/>
      <c r="G5" s="368"/>
      <c r="H5" s="109"/>
      <c r="I5" s="206" t="s">
        <v>5</v>
      </c>
      <c r="J5" s="362" t="str">
        <f>IF('INPUT DATA'!F11="","",'INPUT DATA'!F11)</f>
        <v/>
      </c>
      <c r="K5" s="363"/>
      <c r="L5" s="363"/>
      <c r="M5" s="364"/>
      <c r="N5" s="207"/>
      <c r="O5" s="208"/>
      <c r="P5" s="109"/>
      <c r="Q5" s="109"/>
      <c r="R5" s="109"/>
      <c r="S5" s="203"/>
      <c r="T5" s="203"/>
      <c r="U5" s="203"/>
      <c r="V5" s="203"/>
      <c r="W5" s="203"/>
      <c r="X5" s="203"/>
      <c r="Y5" s="203"/>
      <c r="Z5" s="203"/>
      <c r="AA5" s="203"/>
      <c r="AB5" s="203"/>
      <c r="AC5" s="203"/>
    </row>
    <row r="6" spans="1:29" ht="16.2" customHeight="1" thickBot="1">
      <c r="A6" s="203"/>
      <c r="B6" s="204"/>
      <c r="C6" s="209"/>
      <c r="D6" s="206" t="s">
        <v>6</v>
      </c>
      <c r="E6" s="366" t="str">
        <f>IF('INPUT DATA'!F16="","",'INPUT DATA'!F16)</f>
        <v/>
      </c>
      <c r="F6" s="367"/>
      <c r="G6" s="368"/>
      <c r="H6" s="109"/>
      <c r="I6" s="206" t="s">
        <v>7</v>
      </c>
      <c r="J6" s="359" t="str">
        <f>IF('INPUT DATA'!F15="","",'INPUT DATA'!F15)</f>
        <v/>
      </c>
      <c r="K6" s="361"/>
      <c r="L6" s="360"/>
      <c r="M6" s="403" t="s">
        <v>9</v>
      </c>
      <c r="N6" s="403"/>
      <c r="O6" s="359" t="str">
        <f>IF('INPUT DATA'!F18="","",'INPUT DATA'!F18)</f>
        <v/>
      </c>
      <c r="P6" s="360"/>
      <c r="Q6" s="238"/>
      <c r="R6" s="44" t="str">
        <f>IF('INPUT DATA'!F18="","",'INPUT DATA'!F18)</f>
        <v/>
      </c>
      <c r="S6" s="203"/>
      <c r="T6" s="203"/>
      <c r="U6" s="203"/>
      <c r="V6" s="203"/>
      <c r="W6" s="203"/>
      <c r="X6" s="203"/>
      <c r="Y6" s="203"/>
      <c r="Z6" s="203"/>
      <c r="AA6" s="203"/>
      <c r="AB6" s="203"/>
      <c r="AC6" s="203"/>
    </row>
    <row r="7" spans="1:29" ht="13.8" thickBot="1">
      <c r="A7" s="202"/>
      <c r="B7" s="210"/>
      <c r="C7" s="211"/>
      <c r="D7" s="211"/>
      <c r="E7" s="202"/>
      <c r="F7" s="202"/>
      <c r="G7" s="212"/>
      <c r="I7" s="202"/>
      <c r="J7" s="202"/>
      <c r="K7" s="202"/>
      <c r="L7" s="211"/>
      <c r="M7" s="211"/>
      <c r="N7" s="202"/>
      <c r="O7" s="202"/>
      <c r="P7" s="211"/>
      <c r="Q7" s="211"/>
      <c r="R7" s="211"/>
      <c r="S7" s="202"/>
      <c r="T7" s="202"/>
      <c r="U7" s="202"/>
      <c r="V7" s="202"/>
      <c r="W7" s="202"/>
      <c r="X7" s="202"/>
      <c r="Y7" s="202"/>
      <c r="Z7" s="202"/>
      <c r="AA7" s="202"/>
      <c r="AB7" s="202"/>
      <c r="AC7" s="202"/>
    </row>
    <row r="8" spans="1:29" ht="13.8" thickBot="1">
      <c r="A8" s="202"/>
      <c r="B8" s="404"/>
      <c r="C8" s="405"/>
      <c r="D8" s="405"/>
      <c r="E8" s="405"/>
      <c r="F8" s="405"/>
      <c r="G8" s="405"/>
      <c r="H8" s="405"/>
      <c r="I8" s="405"/>
      <c r="J8" s="405"/>
      <c r="K8" s="405"/>
      <c r="L8" s="405"/>
      <c r="M8" s="405"/>
      <c r="N8" s="405"/>
      <c r="O8" s="405"/>
      <c r="P8" s="405"/>
      <c r="Q8" s="405"/>
      <c r="R8" s="406"/>
      <c r="S8" s="202"/>
      <c r="T8" s="202"/>
      <c r="U8" s="202"/>
      <c r="V8" s="202"/>
      <c r="W8" s="202"/>
      <c r="X8" s="202"/>
      <c r="Y8" s="202"/>
      <c r="Z8" s="202"/>
      <c r="AA8" s="202"/>
      <c r="AB8" s="202"/>
      <c r="AC8" s="202"/>
    </row>
    <row r="9" spans="1:29" ht="14.4" thickBot="1">
      <c r="A9" s="201"/>
      <c r="B9" s="407" t="s">
        <v>14</v>
      </c>
      <c r="C9" s="408"/>
      <c r="D9" s="408"/>
      <c r="E9" s="409"/>
      <c r="F9" s="213" t="s">
        <v>15</v>
      </c>
      <c r="G9" s="412" t="str">
        <f>IF('INPUT DATA'!F27="","",'INPUT DATA'!F27)</f>
        <v/>
      </c>
      <c r="H9" s="413"/>
      <c r="I9" s="413"/>
      <c r="J9" s="413"/>
      <c r="K9" s="414"/>
      <c r="L9" s="374" t="s">
        <v>19</v>
      </c>
      <c r="M9" s="375"/>
      <c r="N9" s="376"/>
      <c r="O9" s="380" t="str">
        <f>IF('INPUT DATA'!F29="","",'INPUT DATA'!F29)</f>
        <v/>
      </c>
      <c r="P9" s="381"/>
      <c r="Q9" s="381"/>
      <c r="R9" s="382"/>
      <c r="S9" s="201"/>
      <c r="T9" s="201"/>
      <c r="U9" s="201"/>
      <c r="V9" s="201"/>
      <c r="W9" s="201"/>
      <c r="X9" s="201"/>
      <c r="Y9" s="201"/>
      <c r="Z9" s="201"/>
      <c r="AA9" s="201"/>
      <c r="AB9" s="201"/>
      <c r="AC9" s="201"/>
    </row>
    <row r="10" spans="1:29" ht="14.4" thickBot="1">
      <c r="A10" s="201"/>
      <c r="B10" s="410"/>
      <c r="C10" s="411"/>
      <c r="D10" s="411"/>
      <c r="E10" s="409"/>
      <c r="F10" s="214" t="s">
        <v>115</v>
      </c>
      <c r="G10" s="415" t="str">
        <f>IF('INPUT DATA'!F28="","",'INPUT DATA'!F28)</f>
        <v/>
      </c>
      <c r="H10" s="416"/>
      <c r="I10" s="416"/>
      <c r="J10" s="416"/>
      <c r="K10" s="417"/>
      <c r="L10" s="432" t="s">
        <v>17</v>
      </c>
      <c r="M10" s="433"/>
      <c r="N10" s="434"/>
      <c r="O10" s="377" t="str">
        <f>IF('INPUT DATA'!F26="","",'INPUT DATA'!F26)</f>
        <v/>
      </c>
      <c r="P10" s="378"/>
      <c r="Q10" s="378"/>
      <c r="R10" s="379"/>
      <c r="S10" s="201"/>
      <c r="T10" s="201"/>
      <c r="U10" s="201"/>
      <c r="V10" s="201"/>
      <c r="W10" s="201"/>
      <c r="X10" s="201"/>
      <c r="Y10" s="201"/>
      <c r="Z10" s="201"/>
      <c r="AA10" s="201"/>
      <c r="AB10" s="201"/>
      <c r="AC10" s="201"/>
    </row>
    <row r="11" spans="1:29" ht="14.4" customHeight="1" thickBot="1">
      <c r="A11" s="202"/>
      <c r="B11" s="390" t="s">
        <v>20</v>
      </c>
      <c r="C11" s="391"/>
      <c r="D11" s="391"/>
      <c r="E11" s="391"/>
      <c r="F11" s="394" t="s">
        <v>11</v>
      </c>
      <c r="G11" s="395"/>
      <c r="H11" s="400" t="s">
        <v>21</v>
      </c>
      <c r="I11" s="422" t="s">
        <v>22</v>
      </c>
      <c r="J11" s="425" t="s">
        <v>99</v>
      </c>
      <c r="K11" s="428" t="s">
        <v>23</v>
      </c>
      <c r="L11" s="429"/>
      <c r="M11" s="429"/>
      <c r="N11" s="429"/>
      <c r="O11" s="429"/>
      <c r="P11" s="429"/>
      <c r="Q11" s="429"/>
      <c r="R11" s="395"/>
      <c r="S11" s="215"/>
      <c r="T11" s="202"/>
      <c r="U11" s="202"/>
      <c r="V11" s="202"/>
      <c r="W11" s="202"/>
      <c r="X11" s="202"/>
      <c r="Y11" s="202"/>
      <c r="Z11" s="202"/>
      <c r="AA11" s="202"/>
      <c r="AB11" s="202"/>
      <c r="AC11" s="202"/>
    </row>
    <row r="12" spans="1:29" ht="25.2" customHeight="1" thickBot="1">
      <c r="A12" s="202"/>
      <c r="B12" s="392"/>
      <c r="C12" s="393"/>
      <c r="D12" s="393"/>
      <c r="E12" s="393"/>
      <c r="F12" s="396"/>
      <c r="G12" s="397"/>
      <c r="H12" s="401"/>
      <c r="I12" s="423"/>
      <c r="J12" s="426"/>
      <c r="K12" s="387" t="s">
        <v>102</v>
      </c>
      <c r="L12" s="430"/>
      <c r="M12" s="430"/>
      <c r="N12" s="388"/>
      <c r="O12" s="388"/>
      <c r="P12" s="388"/>
      <c r="Q12" s="431"/>
      <c r="R12" s="216" t="s">
        <v>106</v>
      </c>
      <c r="S12" s="215"/>
      <c r="T12" s="202"/>
      <c r="U12" s="202"/>
      <c r="V12" s="202"/>
      <c r="W12" s="202"/>
      <c r="X12" s="202"/>
      <c r="Y12" s="202"/>
      <c r="Z12" s="202"/>
      <c r="AA12" s="202"/>
      <c r="AB12" s="202"/>
      <c r="AC12" s="202"/>
    </row>
    <row r="13" spans="1:29" ht="25.2" customHeight="1" thickBot="1">
      <c r="A13" s="202"/>
      <c r="B13" s="392"/>
      <c r="C13" s="393"/>
      <c r="D13" s="393"/>
      <c r="E13" s="393"/>
      <c r="F13" s="396"/>
      <c r="G13" s="397"/>
      <c r="H13" s="401"/>
      <c r="I13" s="423"/>
      <c r="J13" s="426"/>
      <c r="K13" s="387" t="s">
        <v>230</v>
      </c>
      <c r="L13" s="388"/>
      <c r="M13" s="389"/>
      <c r="N13" s="383" t="s">
        <v>103</v>
      </c>
      <c r="O13" s="383" t="s">
        <v>104</v>
      </c>
      <c r="P13" s="383" t="s">
        <v>105</v>
      </c>
      <c r="Q13" s="385" t="s">
        <v>113</v>
      </c>
      <c r="R13" s="383" t="s">
        <v>109</v>
      </c>
      <c r="S13" s="215"/>
      <c r="T13" s="202"/>
      <c r="U13" s="202"/>
      <c r="V13" s="202"/>
      <c r="W13" s="202"/>
      <c r="X13" s="202"/>
      <c r="Y13" s="202"/>
      <c r="Z13" s="202"/>
      <c r="AA13" s="202"/>
      <c r="AB13" s="202"/>
      <c r="AC13" s="202"/>
    </row>
    <row r="14" spans="1:29" ht="25.2" customHeight="1" thickBot="1">
      <c r="A14" s="202"/>
      <c r="B14" s="392"/>
      <c r="C14" s="393"/>
      <c r="D14" s="393"/>
      <c r="E14" s="393"/>
      <c r="F14" s="398"/>
      <c r="G14" s="399"/>
      <c r="H14" s="402"/>
      <c r="I14" s="424"/>
      <c r="J14" s="427"/>
      <c r="K14" s="217" t="s">
        <v>229</v>
      </c>
      <c r="L14" s="218" t="s">
        <v>111</v>
      </c>
      <c r="M14" s="219" t="s">
        <v>112</v>
      </c>
      <c r="N14" s="384"/>
      <c r="O14" s="384"/>
      <c r="P14" s="384"/>
      <c r="Q14" s="386"/>
      <c r="R14" s="384"/>
      <c r="S14" s="215"/>
      <c r="T14" s="202"/>
      <c r="U14" s="202"/>
      <c r="V14" s="202"/>
      <c r="W14" s="202"/>
      <c r="X14" s="202"/>
      <c r="Y14" s="202"/>
      <c r="Z14" s="202"/>
      <c r="AA14" s="202"/>
      <c r="AB14" s="202"/>
      <c r="AC14" s="202"/>
    </row>
    <row r="15" spans="1:29" ht="16.2" thickBot="1">
      <c r="A15" s="203"/>
      <c r="B15" s="418" t="s">
        <v>10</v>
      </c>
      <c r="C15" s="419"/>
      <c r="D15" s="419"/>
      <c r="E15" s="419"/>
      <c r="F15" s="420"/>
      <c r="G15" s="420"/>
      <c r="H15" s="420"/>
      <c r="I15" s="420"/>
      <c r="J15" s="408"/>
      <c r="K15" s="420"/>
      <c r="L15" s="420"/>
      <c r="M15" s="420"/>
      <c r="N15" s="420"/>
      <c r="O15" s="420"/>
      <c r="P15" s="420"/>
      <c r="Q15" s="420"/>
      <c r="R15" s="421"/>
      <c r="S15" s="203"/>
      <c r="T15" s="203"/>
      <c r="U15" s="203"/>
      <c r="V15" s="203"/>
      <c r="W15" s="203"/>
      <c r="X15" s="203"/>
      <c r="Y15" s="203"/>
      <c r="Z15" s="203"/>
      <c r="AA15" s="203"/>
      <c r="AB15" s="203"/>
      <c r="AC15" s="203"/>
    </row>
    <row r="16" spans="1:29" ht="15">
      <c r="A16" s="203"/>
      <c r="B16" s="220">
        <v>1</v>
      </c>
      <c r="C16" s="369" t="str">
        <f>IF('INPUT DATA'!L11="","",'INPUT DATA'!L11)</f>
        <v/>
      </c>
      <c r="D16" s="370"/>
      <c r="E16" s="371"/>
      <c r="F16" s="372" t="str">
        <f>IF('INPUT DATA'!M11="","",'INPUT DATA'!M11)</f>
        <v/>
      </c>
      <c r="G16" s="373"/>
      <c r="H16" s="175" t="str">
        <f>IF('INPUT DATA'!N11="","",'INPUT DATA'!N11)</f>
        <v/>
      </c>
      <c r="I16" s="38" t="str">
        <f ca="1">IF(H16="","",DATEDIF(H16,TODAY(),"Y"))</f>
        <v/>
      </c>
      <c r="J16" s="221" t="s">
        <v>100</v>
      </c>
      <c r="K16" s="91"/>
      <c r="L16" s="92"/>
      <c r="M16" s="92"/>
      <c r="N16" s="92"/>
      <c r="O16" s="92"/>
      <c r="P16" s="92"/>
      <c r="Q16" s="92"/>
      <c r="R16" s="93"/>
      <c r="S16" s="203"/>
      <c r="T16" s="203"/>
      <c r="U16" s="203"/>
      <c r="V16" s="203"/>
      <c r="W16" s="203"/>
      <c r="X16" s="203"/>
      <c r="Y16" s="203"/>
      <c r="Z16" s="203"/>
      <c r="AA16" s="203"/>
      <c r="AB16" s="203"/>
      <c r="AC16" s="203"/>
    </row>
    <row r="17" spans="1:29" ht="15">
      <c r="A17" s="203"/>
      <c r="B17" s="223">
        <v>2</v>
      </c>
      <c r="C17" s="369" t="str">
        <f>IF('INPUT DATA'!L12="","",'INPUT DATA'!L12)</f>
        <v/>
      </c>
      <c r="D17" s="370"/>
      <c r="E17" s="371"/>
      <c r="F17" s="372" t="str">
        <f>IF('INPUT DATA'!M12="","",'INPUT DATA'!M12)</f>
        <v/>
      </c>
      <c r="G17" s="373"/>
      <c r="H17" s="176" t="str">
        <f>IF('INPUT DATA'!N12="","",'INPUT DATA'!N12)</f>
        <v/>
      </c>
      <c r="I17" s="88" t="str">
        <f ca="1">IF(H17="","",DATEDIF(H17,TODAY(),"Y"))</f>
        <v/>
      </c>
      <c r="J17" s="224" t="s">
        <v>100</v>
      </c>
      <c r="K17" s="94"/>
      <c r="L17" s="95"/>
      <c r="M17" s="95"/>
      <c r="N17" s="95"/>
      <c r="O17" s="95"/>
      <c r="P17" s="95"/>
      <c r="Q17" s="95"/>
      <c r="R17" s="96"/>
      <c r="S17" s="203"/>
      <c r="T17" s="203"/>
      <c r="U17" s="203"/>
      <c r="V17" s="203"/>
      <c r="W17" s="203"/>
      <c r="X17" s="203"/>
      <c r="Y17" s="203"/>
      <c r="Z17" s="203"/>
      <c r="AA17" s="203"/>
      <c r="AB17" s="203"/>
      <c r="AC17" s="203"/>
    </row>
    <row r="18" spans="1:29" ht="15">
      <c r="A18" s="203"/>
      <c r="B18" s="223">
        <v>3</v>
      </c>
      <c r="C18" s="369" t="str">
        <f>IF('INPUT DATA'!L13="","",'INPUT DATA'!L13)</f>
        <v/>
      </c>
      <c r="D18" s="370"/>
      <c r="E18" s="371"/>
      <c r="F18" s="372" t="str">
        <f>IF('INPUT DATA'!M13="","",'INPUT DATA'!M13)</f>
        <v/>
      </c>
      <c r="G18" s="373"/>
      <c r="H18" s="176" t="str">
        <f>IF('INPUT DATA'!N13="","",'INPUT DATA'!N13)</f>
        <v/>
      </c>
      <c r="I18" s="88" t="str">
        <f t="shared" ref="I18:I65" ca="1" si="0">IF(H18="","",DATEDIF(H18,TODAY(),"Y"))</f>
        <v/>
      </c>
      <c r="J18" s="224" t="s">
        <v>100</v>
      </c>
      <c r="K18" s="94"/>
      <c r="L18" s="95"/>
      <c r="M18" s="95"/>
      <c r="N18" s="95"/>
      <c r="O18" s="95"/>
      <c r="P18" s="95"/>
      <c r="Q18" s="95"/>
      <c r="R18" s="96"/>
      <c r="S18" s="203"/>
      <c r="T18" s="203"/>
      <c r="U18" s="203"/>
      <c r="V18" s="203"/>
      <c r="W18" s="203"/>
      <c r="X18" s="203"/>
      <c r="Y18" s="203"/>
      <c r="Z18" s="203"/>
      <c r="AA18" s="203"/>
      <c r="AB18" s="203"/>
      <c r="AC18" s="203"/>
    </row>
    <row r="19" spans="1:29" ht="15">
      <c r="A19" s="203"/>
      <c r="B19" s="223">
        <v>4</v>
      </c>
      <c r="C19" s="369" t="str">
        <f>IF('INPUT DATA'!L14="","",'INPUT DATA'!L14)</f>
        <v/>
      </c>
      <c r="D19" s="370"/>
      <c r="E19" s="371"/>
      <c r="F19" s="372" t="str">
        <f>IF('INPUT DATA'!M14="","",'INPUT DATA'!M14)</f>
        <v/>
      </c>
      <c r="G19" s="373"/>
      <c r="H19" s="176" t="str">
        <f>IF('INPUT DATA'!N14="","",'INPUT DATA'!N14)</f>
        <v/>
      </c>
      <c r="I19" s="88" t="str">
        <f t="shared" ca="1" si="0"/>
        <v/>
      </c>
      <c r="J19" s="224"/>
      <c r="K19" s="94"/>
      <c r="L19" s="95"/>
      <c r="M19" s="95"/>
      <c r="N19" s="95"/>
      <c r="O19" s="95"/>
      <c r="P19" s="95"/>
      <c r="Q19" s="95"/>
      <c r="R19" s="96"/>
      <c r="S19" s="203"/>
      <c r="T19" s="203"/>
      <c r="U19" s="203"/>
      <c r="V19" s="203"/>
      <c r="W19" s="203"/>
      <c r="X19" s="203"/>
      <c r="Y19" s="203"/>
      <c r="Z19" s="203"/>
      <c r="AA19" s="203"/>
      <c r="AB19" s="203"/>
      <c r="AC19" s="203"/>
    </row>
    <row r="20" spans="1:29" ht="15">
      <c r="A20" s="203"/>
      <c r="B20" s="223">
        <v>5</v>
      </c>
      <c r="C20" s="369" t="str">
        <f>IF('INPUT DATA'!L15="","",'INPUT DATA'!L15)</f>
        <v/>
      </c>
      <c r="D20" s="370"/>
      <c r="E20" s="371"/>
      <c r="F20" s="372" t="str">
        <f>IF('INPUT DATA'!M15="","",'INPUT DATA'!M15)</f>
        <v/>
      </c>
      <c r="G20" s="373"/>
      <c r="H20" s="176" t="str">
        <f>IF('INPUT DATA'!N15="","",'INPUT DATA'!N15)</f>
        <v/>
      </c>
      <c r="I20" s="88" t="str">
        <f t="shared" ca="1" si="0"/>
        <v/>
      </c>
      <c r="J20" s="224"/>
      <c r="K20" s="94"/>
      <c r="L20" s="95"/>
      <c r="M20" s="95"/>
      <c r="N20" s="95"/>
      <c r="O20" s="95"/>
      <c r="P20" s="95"/>
      <c r="Q20" s="95"/>
      <c r="R20" s="96"/>
      <c r="S20" s="203"/>
      <c r="T20" s="203"/>
      <c r="U20" s="203"/>
      <c r="V20" s="203"/>
      <c r="W20" s="203"/>
      <c r="X20" s="203"/>
      <c r="Y20" s="203"/>
      <c r="Z20" s="203"/>
      <c r="AA20" s="203"/>
      <c r="AB20" s="203"/>
      <c r="AC20" s="203"/>
    </row>
    <row r="21" spans="1:29" ht="15">
      <c r="A21" s="203"/>
      <c r="B21" s="223">
        <v>6</v>
      </c>
      <c r="C21" s="369" t="str">
        <f>IF('INPUT DATA'!L16="","",'INPUT DATA'!L16)</f>
        <v/>
      </c>
      <c r="D21" s="370"/>
      <c r="E21" s="371"/>
      <c r="F21" s="372" t="str">
        <f>IF('INPUT DATA'!M16="","",'INPUT DATA'!M16)</f>
        <v/>
      </c>
      <c r="G21" s="373"/>
      <c r="H21" s="176" t="str">
        <f>IF('INPUT DATA'!N16="","",'INPUT DATA'!N16)</f>
        <v/>
      </c>
      <c r="I21" s="88" t="str">
        <f t="shared" ca="1" si="0"/>
        <v/>
      </c>
      <c r="J21" s="224"/>
      <c r="K21" s="94"/>
      <c r="L21" s="95"/>
      <c r="M21" s="95"/>
      <c r="N21" s="95"/>
      <c r="O21" s="95"/>
      <c r="P21" s="95"/>
      <c r="Q21" s="95"/>
      <c r="R21" s="96"/>
      <c r="S21" s="203"/>
      <c r="T21" s="203"/>
      <c r="U21" s="203"/>
      <c r="V21" s="203"/>
      <c r="W21" s="203"/>
      <c r="X21" s="203"/>
      <c r="Y21" s="203"/>
      <c r="Z21" s="203"/>
      <c r="AA21" s="203"/>
      <c r="AB21" s="203"/>
      <c r="AC21" s="203"/>
    </row>
    <row r="22" spans="1:29" ht="15">
      <c r="A22" s="203"/>
      <c r="B22" s="223">
        <v>7</v>
      </c>
      <c r="C22" s="369" t="str">
        <f>IF('INPUT DATA'!L17="","",'INPUT DATA'!L17)</f>
        <v/>
      </c>
      <c r="D22" s="370"/>
      <c r="E22" s="371"/>
      <c r="F22" s="372" t="str">
        <f>IF('INPUT DATA'!M17="","",'INPUT DATA'!M17)</f>
        <v/>
      </c>
      <c r="G22" s="373"/>
      <c r="H22" s="176" t="str">
        <f>IF('INPUT DATA'!N17="","",'INPUT DATA'!N17)</f>
        <v/>
      </c>
      <c r="I22" s="88" t="str">
        <f t="shared" ca="1" si="0"/>
        <v/>
      </c>
      <c r="J22" s="224"/>
      <c r="K22" s="94"/>
      <c r="L22" s="95"/>
      <c r="M22" s="95"/>
      <c r="N22" s="95"/>
      <c r="O22" s="95"/>
      <c r="P22" s="95"/>
      <c r="Q22" s="95"/>
      <c r="R22" s="96"/>
      <c r="S22" s="203"/>
      <c r="T22" s="203"/>
      <c r="U22" s="203"/>
      <c r="V22" s="203"/>
      <c r="W22" s="203"/>
      <c r="X22" s="203"/>
      <c r="Y22" s="203"/>
      <c r="Z22" s="203"/>
      <c r="AA22" s="203"/>
      <c r="AB22" s="203"/>
      <c r="AC22" s="203"/>
    </row>
    <row r="23" spans="1:29" ht="15">
      <c r="A23" s="203"/>
      <c r="B23" s="223">
        <v>8</v>
      </c>
      <c r="C23" s="369" t="str">
        <f>IF('INPUT DATA'!L18="","",'INPUT DATA'!L18)</f>
        <v/>
      </c>
      <c r="D23" s="370"/>
      <c r="E23" s="371"/>
      <c r="F23" s="372" t="str">
        <f>IF('INPUT DATA'!M18="","",'INPUT DATA'!M18)</f>
        <v/>
      </c>
      <c r="G23" s="373"/>
      <c r="H23" s="176" t="str">
        <f>IF('INPUT DATA'!N18="","",'INPUT DATA'!N18)</f>
        <v/>
      </c>
      <c r="I23" s="88" t="str">
        <f t="shared" ca="1" si="0"/>
        <v/>
      </c>
      <c r="J23" s="224"/>
      <c r="K23" s="94"/>
      <c r="L23" s="95"/>
      <c r="M23" s="95"/>
      <c r="N23" s="95"/>
      <c r="O23" s="95"/>
      <c r="P23" s="95"/>
      <c r="Q23" s="95"/>
      <c r="R23" s="96"/>
      <c r="S23" s="203"/>
      <c r="T23" s="203"/>
      <c r="U23" s="203"/>
      <c r="V23" s="203"/>
      <c r="W23" s="203"/>
      <c r="X23" s="203"/>
      <c r="Y23" s="203"/>
      <c r="Z23" s="203"/>
      <c r="AA23" s="203"/>
      <c r="AB23" s="203"/>
      <c r="AC23" s="203"/>
    </row>
    <row r="24" spans="1:29" ht="15">
      <c r="A24" s="203"/>
      <c r="B24" s="223">
        <v>9</v>
      </c>
      <c r="C24" s="369" t="str">
        <f>IF('INPUT DATA'!L19="","",'INPUT DATA'!L19)</f>
        <v/>
      </c>
      <c r="D24" s="370"/>
      <c r="E24" s="371"/>
      <c r="F24" s="372" t="str">
        <f>IF('INPUT DATA'!M19="","",'INPUT DATA'!M19)</f>
        <v/>
      </c>
      <c r="G24" s="373"/>
      <c r="H24" s="176" t="str">
        <f>IF('INPUT DATA'!N19="","",'INPUT DATA'!N19)</f>
        <v/>
      </c>
      <c r="I24" s="88" t="str">
        <f t="shared" ca="1" si="0"/>
        <v/>
      </c>
      <c r="J24" s="224"/>
      <c r="K24" s="94"/>
      <c r="L24" s="95"/>
      <c r="M24" s="95"/>
      <c r="N24" s="95"/>
      <c r="O24" s="95"/>
      <c r="P24" s="95"/>
      <c r="Q24" s="95"/>
      <c r="R24" s="96"/>
      <c r="S24" s="203"/>
      <c r="T24" s="203"/>
      <c r="U24" s="203"/>
      <c r="V24" s="203"/>
      <c r="W24" s="203"/>
      <c r="X24" s="203"/>
      <c r="Y24" s="203"/>
      <c r="Z24" s="203"/>
      <c r="AA24" s="203"/>
      <c r="AB24" s="203"/>
      <c r="AC24" s="203"/>
    </row>
    <row r="25" spans="1:29" ht="15">
      <c r="A25" s="203"/>
      <c r="B25" s="223">
        <v>10</v>
      </c>
      <c r="C25" s="369" t="str">
        <f>IF('INPUT DATA'!L20="","",'INPUT DATA'!L20)</f>
        <v/>
      </c>
      <c r="D25" s="370"/>
      <c r="E25" s="371"/>
      <c r="F25" s="372" t="str">
        <f>IF('INPUT DATA'!M20="","",'INPUT DATA'!M20)</f>
        <v/>
      </c>
      <c r="G25" s="373"/>
      <c r="H25" s="176" t="str">
        <f>IF('INPUT DATA'!N20="","",'INPUT DATA'!N20)</f>
        <v/>
      </c>
      <c r="I25" s="88" t="str">
        <f t="shared" ca="1" si="0"/>
        <v/>
      </c>
      <c r="J25" s="224"/>
      <c r="K25" s="94"/>
      <c r="L25" s="95"/>
      <c r="M25" s="95"/>
      <c r="N25" s="95"/>
      <c r="O25" s="95"/>
      <c r="P25" s="95"/>
      <c r="Q25" s="95"/>
      <c r="R25" s="96"/>
      <c r="S25" s="203"/>
      <c r="T25" s="203"/>
      <c r="U25" s="203"/>
      <c r="V25" s="203"/>
      <c r="W25" s="203"/>
      <c r="X25" s="203"/>
      <c r="Y25" s="203"/>
      <c r="Z25" s="203"/>
      <c r="AA25" s="203"/>
      <c r="AB25" s="203"/>
      <c r="AC25" s="203"/>
    </row>
    <row r="26" spans="1:29" ht="15">
      <c r="A26" s="203"/>
      <c r="B26" s="223">
        <v>11</v>
      </c>
      <c r="C26" s="369" t="str">
        <f>IF('INPUT DATA'!L21="","",'INPUT DATA'!L21)</f>
        <v/>
      </c>
      <c r="D26" s="370"/>
      <c r="E26" s="371"/>
      <c r="F26" s="372" t="str">
        <f>IF('INPUT DATA'!M21="","",'INPUT DATA'!M21)</f>
        <v/>
      </c>
      <c r="G26" s="373"/>
      <c r="H26" s="176" t="str">
        <f>IF('INPUT DATA'!N21="","",'INPUT DATA'!N21)</f>
        <v/>
      </c>
      <c r="I26" s="88" t="str">
        <f t="shared" ca="1" si="0"/>
        <v/>
      </c>
      <c r="J26" s="224"/>
      <c r="K26" s="94"/>
      <c r="L26" s="95"/>
      <c r="M26" s="95"/>
      <c r="N26" s="95"/>
      <c r="O26" s="95"/>
      <c r="P26" s="95"/>
      <c r="Q26" s="95"/>
      <c r="R26" s="96"/>
      <c r="S26" s="203"/>
      <c r="T26" s="203"/>
      <c r="U26" s="203"/>
      <c r="V26" s="203"/>
      <c r="W26" s="203"/>
      <c r="X26" s="203"/>
      <c r="Y26" s="203"/>
      <c r="Z26" s="203"/>
      <c r="AA26" s="203"/>
      <c r="AB26" s="203"/>
      <c r="AC26" s="203"/>
    </row>
    <row r="27" spans="1:29" ht="15">
      <c r="A27" s="203"/>
      <c r="B27" s="223">
        <v>12</v>
      </c>
      <c r="C27" s="369" t="str">
        <f>IF('INPUT DATA'!L22="","",'INPUT DATA'!L22)</f>
        <v/>
      </c>
      <c r="D27" s="370"/>
      <c r="E27" s="371"/>
      <c r="F27" s="372" t="str">
        <f>IF('INPUT DATA'!M22="","",'INPUT DATA'!M22)</f>
        <v/>
      </c>
      <c r="G27" s="373"/>
      <c r="H27" s="176" t="str">
        <f>IF('INPUT DATA'!N22="","",'INPUT DATA'!N22)</f>
        <v/>
      </c>
      <c r="I27" s="88" t="str">
        <f t="shared" ca="1" si="0"/>
        <v/>
      </c>
      <c r="J27" s="224"/>
      <c r="K27" s="94"/>
      <c r="L27" s="95"/>
      <c r="M27" s="95"/>
      <c r="N27" s="95"/>
      <c r="O27" s="95"/>
      <c r="P27" s="95"/>
      <c r="Q27" s="95"/>
      <c r="R27" s="96"/>
      <c r="S27" s="203"/>
      <c r="T27" s="203"/>
      <c r="U27" s="203"/>
      <c r="V27" s="203"/>
      <c r="W27" s="203"/>
      <c r="X27" s="203"/>
      <c r="Y27" s="203"/>
      <c r="Z27" s="203"/>
      <c r="AA27" s="203"/>
      <c r="AB27" s="203"/>
      <c r="AC27" s="203"/>
    </row>
    <row r="28" spans="1:29" ht="15">
      <c r="A28" s="203"/>
      <c r="B28" s="223">
        <v>13</v>
      </c>
      <c r="C28" s="369" t="str">
        <f>IF('INPUT DATA'!L23="","",'INPUT DATA'!L23)</f>
        <v/>
      </c>
      <c r="D28" s="370"/>
      <c r="E28" s="371"/>
      <c r="F28" s="372" t="str">
        <f>IF('INPUT DATA'!M23="","",'INPUT DATA'!M23)</f>
        <v/>
      </c>
      <c r="G28" s="373"/>
      <c r="H28" s="176" t="str">
        <f>IF('INPUT DATA'!N23="","",'INPUT DATA'!N23)</f>
        <v/>
      </c>
      <c r="I28" s="88" t="str">
        <f t="shared" ca="1" si="0"/>
        <v/>
      </c>
      <c r="J28" s="224"/>
      <c r="K28" s="94"/>
      <c r="L28" s="95"/>
      <c r="M28" s="95"/>
      <c r="N28" s="95"/>
      <c r="O28" s="95"/>
      <c r="P28" s="95"/>
      <c r="Q28" s="95"/>
      <c r="R28" s="96"/>
      <c r="S28" s="203"/>
      <c r="T28" s="203"/>
      <c r="U28" s="203"/>
      <c r="V28" s="203"/>
      <c r="W28" s="203"/>
      <c r="X28" s="203"/>
      <c r="Y28" s="203"/>
      <c r="Z28" s="203"/>
      <c r="AA28" s="203"/>
      <c r="AB28" s="203"/>
      <c r="AC28" s="203"/>
    </row>
    <row r="29" spans="1:29" ht="15">
      <c r="A29" s="203"/>
      <c r="B29" s="223">
        <v>14</v>
      </c>
      <c r="C29" s="369" t="str">
        <f>IF('INPUT DATA'!L24="","",'INPUT DATA'!L24)</f>
        <v/>
      </c>
      <c r="D29" s="370"/>
      <c r="E29" s="371"/>
      <c r="F29" s="372" t="str">
        <f>IF('INPUT DATA'!M24="","",'INPUT DATA'!M24)</f>
        <v/>
      </c>
      <c r="G29" s="373"/>
      <c r="H29" s="176" t="str">
        <f>IF('INPUT DATA'!N24="","",'INPUT DATA'!N24)</f>
        <v/>
      </c>
      <c r="I29" s="88" t="str">
        <f t="shared" ca="1" si="0"/>
        <v/>
      </c>
      <c r="J29" s="224"/>
      <c r="K29" s="94"/>
      <c r="L29" s="95"/>
      <c r="M29" s="95"/>
      <c r="N29" s="95"/>
      <c r="O29" s="95"/>
      <c r="P29" s="95"/>
      <c r="Q29" s="95"/>
      <c r="R29" s="96"/>
      <c r="S29" s="203"/>
      <c r="T29" s="203"/>
      <c r="U29" s="203"/>
      <c r="V29" s="203"/>
      <c r="W29" s="203"/>
      <c r="X29" s="203"/>
      <c r="Y29" s="203"/>
      <c r="Z29" s="203"/>
      <c r="AA29" s="203"/>
      <c r="AB29" s="203"/>
      <c r="AC29" s="203"/>
    </row>
    <row r="30" spans="1:29" ht="15">
      <c r="A30" s="203"/>
      <c r="B30" s="223">
        <v>15</v>
      </c>
      <c r="C30" s="369" t="str">
        <f>IF('INPUT DATA'!L25="","",'INPUT DATA'!L25)</f>
        <v/>
      </c>
      <c r="D30" s="370"/>
      <c r="E30" s="371"/>
      <c r="F30" s="372" t="str">
        <f>IF('INPUT DATA'!M25="","",'INPUT DATA'!M25)</f>
        <v/>
      </c>
      <c r="G30" s="373"/>
      <c r="H30" s="176" t="str">
        <f>IF('INPUT DATA'!N25="","",'INPUT DATA'!N25)</f>
        <v/>
      </c>
      <c r="I30" s="88" t="str">
        <f t="shared" ca="1" si="0"/>
        <v/>
      </c>
      <c r="J30" s="224"/>
      <c r="K30" s="94"/>
      <c r="L30" s="95"/>
      <c r="M30" s="95"/>
      <c r="N30" s="95"/>
      <c r="O30" s="95"/>
      <c r="P30" s="95"/>
      <c r="Q30" s="95"/>
      <c r="R30" s="96"/>
      <c r="S30" s="203"/>
      <c r="T30" s="203"/>
      <c r="U30" s="203"/>
      <c r="V30" s="203"/>
      <c r="W30" s="203"/>
      <c r="X30" s="203"/>
      <c r="Y30" s="203"/>
      <c r="Z30" s="203"/>
      <c r="AA30" s="203"/>
      <c r="AB30" s="203"/>
      <c r="AC30" s="203"/>
    </row>
    <row r="31" spans="1:29" ht="15">
      <c r="A31" s="203"/>
      <c r="B31" s="223">
        <v>16</v>
      </c>
      <c r="C31" s="369" t="str">
        <f>IF('INPUT DATA'!L26="","",'INPUT DATA'!L26)</f>
        <v/>
      </c>
      <c r="D31" s="370"/>
      <c r="E31" s="371"/>
      <c r="F31" s="372" t="str">
        <f>IF('INPUT DATA'!M26="","",'INPUT DATA'!M26)</f>
        <v/>
      </c>
      <c r="G31" s="373"/>
      <c r="H31" s="176" t="str">
        <f>IF('INPUT DATA'!N26="","",'INPUT DATA'!N26)</f>
        <v/>
      </c>
      <c r="I31" s="88" t="str">
        <f t="shared" ca="1" si="0"/>
        <v/>
      </c>
      <c r="J31" s="224"/>
      <c r="K31" s="94"/>
      <c r="L31" s="95"/>
      <c r="M31" s="95"/>
      <c r="N31" s="95"/>
      <c r="O31" s="95"/>
      <c r="P31" s="95"/>
      <c r="Q31" s="95"/>
      <c r="R31" s="96"/>
      <c r="S31" s="203"/>
      <c r="T31" s="203"/>
      <c r="U31" s="203"/>
      <c r="V31" s="203"/>
      <c r="W31" s="203"/>
      <c r="X31" s="203"/>
      <c r="Y31" s="203"/>
      <c r="Z31" s="203"/>
      <c r="AA31" s="203"/>
      <c r="AB31" s="203"/>
      <c r="AC31" s="203"/>
    </row>
    <row r="32" spans="1:29" ht="15">
      <c r="A32" s="203"/>
      <c r="B32" s="223">
        <v>17</v>
      </c>
      <c r="C32" s="369" t="str">
        <f>IF('INPUT DATA'!L27="","",'INPUT DATA'!L27)</f>
        <v/>
      </c>
      <c r="D32" s="370"/>
      <c r="E32" s="371"/>
      <c r="F32" s="372" t="str">
        <f>IF('INPUT DATA'!M27="","",'INPUT DATA'!M27)</f>
        <v/>
      </c>
      <c r="G32" s="373"/>
      <c r="H32" s="176" t="str">
        <f>IF('INPUT DATA'!N27="","",'INPUT DATA'!N27)</f>
        <v/>
      </c>
      <c r="I32" s="88" t="str">
        <f t="shared" ca="1" si="0"/>
        <v/>
      </c>
      <c r="J32" s="224"/>
      <c r="K32" s="94"/>
      <c r="L32" s="95"/>
      <c r="M32" s="95"/>
      <c r="N32" s="95"/>
      <c r="O32" s="95"/>
      <c r="P32" s="95"/>
      <c r="Q32" s="95"/>
      <c r="R32" s="96"/>
      <c r="S32" s="203"/>
      <c r="T32" s="203"/>
      <c r="U32" s="203"/>
      <c r="V32" s="203"/>
      <c r="W32" s="203"/>
      <c r="X32" s="203"/>
      <c r="Y32" s="203"/>
      <c r="Z32" s="203"/>
      <c r="AA32" s="203"/>
      <c r="AB32" s="203"/>
      <c r="AC32" s="203"/>
    </row>
    <row r="33" spans="1:29" ht="15">
      <c r="A33" s="203"/>
      <c r="B33" s="223">
        <v>18</v>
      </c>
      <c r="C33" s="369" t="str">
        <f>IF('INPUT DATA'!L28="","",'INPUT DATA'!L28)</f>
        <v/>
      </c>
      <c r="D33" s="370"/>
      <c r="E33" s="371"/>
      <c r="F33" s="372" t="str">
        <f>IF('INPUT DATA'!M28="","",'INPUT DATA'!M28)</f>
        <v/>
      </c>
      <c r="G33" s="373"/>
      <c r="H33" s="176" t="str">
        <f>IF('INPUT DATA'!N28="","",'INPUT DATA'!N28)</f>
        <v/>
      </c>
      <c r="I33" s="88" t="str">
        <f t="shared" ca="1" si="0"/>
        <v/>
      </c>
      <c r="J33" s="224"/>
      <c r="K33" s="94"/>
      <c r="L33" s="95"/>
      <c r="M33" s="95"/>
      <c r="N33" s="95"/>
      <c r="O33" s="95"/>
      <c r="P33" s="95"/>
      <c r="Q33" s="95"/>
      <c r="R33" s="96"/>
      <c r="S33" s="203"/>
      <c r="T33" s="203"/>
      <c r="U33" s="203"/>
      <c r="V33" s="203"/>
      <c r="W33" s="203"/>
      <c r="X33" s="203"/>
      <c r="Y33" s="203"/>
      <c r="Z33" s="203"/>
      <c r="AA33" s="203"/>
      <c r="AB33" s="203"/>
      <c r="AC33" s="203"/>
    </row>
    <row r="34" spans="1:29" ht="15">
      <c r="A34" s="203"/>
      <c r="B34" s="223">
        <v>19</v>
      </c>
      <c r="C34" s="369" t="str">
        <f>IF('INPUT DATA'!L29="","",'INPUT DATA'!L29)</f>
        <v/>
      </c>
      <c r="D34" s="370"/>
      <c r="E34" s="371"/>
      <c r="F34" s="372" t="str">
        <f>IF('INPUT DATA'!M29="","",'INPUT DATA'!M29)</f>
        <v/>
      </c>
      <c r="G34" s="373"/>
      <c r="H34" s="176" t="str">
        <f>IF('INPUT DATA'!N29="","",'INPUT DATA'!N29)</f>
        <v/>
      </c>
      <c r="I34" s="88" t="str">
        <f t="shared" ca="1" si="0"/>
        <v/>
      </c>
      <c r="J34" s="224"/>
      <c r="K34" s="94"/>
      <c r="L34" s="95"/>
      <c r="M34" s="95"/>
      <c r="N34" s="95"/>
      <c r="O34" s="95"/>
      <c r="P34" s="95"/>
      <c r="Q34" s="95"/>
      <c r="R34" s="96"/>
      <c r="S34" s="203"/>
      <c r="T34" s="203"/>
      <c r="U34" s="203"/>
      <c r="V34" s="203"/>
      <c r="W34" s="203"/>
      <c r="X34" s="203"/>
      <c r="Y34" s="203"/>
      <c r="Z34" s="203"/>
      <c r="AA34" s="203"/>
      <c r="AB34" s="203"/>
      <c r="AC34" s="203"/>
    </row>
    <row r="35" spans="1:29" ht="15">
      <c r="A35" s="203"/>
      <c r="B35" s="226">
        <v>20</v>
      </c>
      <c r="C35" s="369" t="str">
        <f>IF('INPUT DATA'!L30="","",'INPUT DATA'!L30)</f>
        <v/>
      </c>
      <c r="D35" s="370"/>
      <c r="E35" s="371"/>
      <c r="F35" s="372" t="str">
        <f>IF('INPUT DATA'!M30="","",'INPUT DATA'!M30)</f>
        <v/>
      </c>
      <c r="G35" s="373"/>
      <c r="H35" s="176" t="str">
        <f>IF('INPUT DATA'!N30="","",'INPUT DATA'!N30)</f>
        <v/>
      </c>
      <c r="I35" s="88" t="str">
        <f t="shared" ca="1" si="0"/>
        <v/>
      </c>
      <c r="J35" s="224"/>
      <c r="K35" s="97"/>
      <c r="L35" s="98"/>
      <c r="M35" s="98"/>
      <c r="N35" s="98"/>
      <c r="O35" s="98"/>
      <c r="P35" s="98"/>
      <c r="Q35" s="98"/>
      <c r="R35" s="99"/>
      <c r="S35" s="203"/>
      <c r="T35" s="203"/>
      <c r="U35" s="203"/>
      <c r="V35" s="203"/>
      <c r="W35" s="203"/>
      <c r="X35" s="203"/>
      <c r="Y35" s="203"/>
      <c r="Z35" s="203"/>
      <c r="AA35" s="203"/>
      <c r="AB35" s="203"/>
      <c r="AC35" s="203"/>
    </row>
    <row r="36" spans="1:29" ht="15">
      <c r="A36" s="203"/>
      <c r="B36" s="226">
        <v>21</v>
      </c>
      <c r="C36" s="369" t="str">
        <f>IF('INPUT DATA'!L31="","",'INPUT DATA'!L31)</f>
        <v/>
      </c>
      <c r="D36" s="370"/>
      <c r="E36" s="371"/>
      <c r="F36" s="372" t="str">
        <f>IF('INPUT DATA'!M31="","",'INPUT DATA'!M31)</f>
        <v/>
      </c>
      <c r="G36" s="373"/>
      <c r="H36" s="176" t="str">
        <f>IF('INPUT DATA'!N31="","",'INPUT DATA'!N31)</f>
        <v/>
      </c>
      <c r="I36" s="88" t="str">
        <f t="shared" ca="1" si="0"/>
        <v/>
      </c>
      <c r="J36" s="224"/>
      <c r="K36" s="94"/>
      <c r="L36" s="95"/>
      <c r="M36" s="95"/>
      <c r="N36" s="95"/>
      <c r="O36" s="95"/>
      <c r="P36" s="95"/>
      <c r="Q36" s="95"/>
      <c r="R36" s="96"/>
      <c r="S36" s="203"/>
      <c r="T36" s="203"/>
      <c r="U36" s="203"/>
      <c r="V36" s="203"/>
      <c r="W36" s="203"/>
      <c r="X36" s="203"/>
      <c r="Y36" s="203"/>
      <c r="Z36" s="203"/>
      <c r="AA36" s="203"/>
      <c r="AB36" s="203"/>
      <c r="AC36" s="203"/>
    </row>
    <row r="37" spans="1:29" ht="15">
      <c r="A37" s="203"/>
      <c r="B37" s="226">
        <v>22</v>
      </c>
      <c r="C37" s="369" t="str">
        <f>IF('INPUT DATA'!L32="","",'INPUT DATA'!L32)</f>
        <v/>
      </c>
      <c r="D37" s="370"/>
      <c r="E37" s="371"/>
      <c r="F37" s="372" t="str">
        <f>IF('INPUT DATA'!M32="","",'INPUT DATA'!M32)</f>
        <v/>
      </c>
      <c r="G37" s="373"/>
      <c r="H37" s="176" t="str">
        <f>IF('INPUT DATA'!N32="","",'INPUT DATA'!N32)</f>
        <v/>
      </c>
      <c r="I37" s="88" t="str">
        <f t="shared" ca="1" si="0"/>
        <v/>
      </c>
      <c r="J37" s="224"/>
      <c r="K37" s="94"/>
      <c r="L37" s="95"/>
      <c r="M37" s="95"/>
      <c r="N37" s="95"/>
      <c r="O37" s="95"/>
      <c r="P37" s="95"/>
      <c r="Q37" s="95"/>
      <c r="R37" s="96"/>
      <c r="S37" s="203"/>
      <c r="T37" s="203"/>
      <c r="U37" s="203"/>
      <c r="V37" s="203"/>
      <c r="W37" s="203"/>
      <c r="X37" s="203"/>
      <c r="Y37" s="203"/>
      <c r="Z37" s="203"/>
      <c r="AA37" s="203"/>
      <c r="AB37" s="203"/>
      <c r="AC37" s="203"/>
    </row>
    <row r="38" spans="1:29" ht="15">
      <c r="A38" s="203"/>
      <c r="B38" s="226">
        <v>23</v>
      </c>
      <c r="C38" s="369" t="str">
        <f>IF('INPUT DATA'!L33="","",'INPUT DATA'!L33)</f>
        <v/>
      </c>
      <c r="D38" s="370"/>
      <c r="E38" s="371"/>
      <c r="F38" s="372" t="str">
        <f>IF('INPUT DATA'!M33="","",'INPUT DATA'!M33)</f>
        <v/>
      </c>
      <c r="G38" s="373"/>
      <c r="H38" s="176" t="str">
        <f>IF('INPUT DATA'!N33="","",'INPUT DATA'!N33)</f>
        <v/>
      </c>
      <c r="I38" s="88" t="str">
        <f t="shared" ca="1" si="0"/>
        <v/>
      </c>
      <c r="J38" s="224"/>
      <c r="K38" s="94"/>
      <c r="L38" s="95"/>
      <c r="M38" s="95"/>
      <c r="N38" s="95"/>
      <c r="O38" s="95"/>
      <c r="P38" s="95"/>
      <c r="Q38" s="95"/>
      <c r="R38" s="96"/>
      <c r="S38" s="203"/>
      <c r="T38" s="203"/>
      <c r="U38" s="203"/>
      <c r="V38" s="203"/>
      <c r="W38" s="203"/>
      <c r="X38" s="203"/>
      <c r="Y38" s="203"/>
      <c r="Z38" s="203"/>
      <c r="AA38" s="203"/>
      <c r="AB38" s="203"/>
      <c r="AC38" s="203"/>
    </row>
    <row r="39" spans="1:29" ht="15">
      <c r="A39" s="203"/>
      <c r="B39" s="226">
        <v>24</v>
      </c>
      <c r="C39" s="369" t="str">
        <f>IF('INPUT DATA'!L34="","",'INPUT DATA'!L34)</f>
        <v/>
      </c>
      <c r="D39" s="370"/>
      <c r="E39" s="371"/>
      <c r="F39" s="372" t="str">
        <f>IF('INPUT DATA'!M34="","",'INPUT DATA'!M34)</f>
        <v/>
      </c>
      <c r="G39" s="373"/>
      <c r="H39" s="176" t="str">
        <f>IF('INPUT DATA'!N34="","",'INPUT DATA'!N34)</f>
        <v/>
      </c>
      <c r="I39" s="88" t="str">
        <f t="shared" ca="1" si="0"/>
        <v/>
      </c>
      <c r="J39" s="224"/>
      <c r="K39" s="94"/>
      <c r="L39" s="95"/>
      <c r="M39" s="95"/>
      <c r="N39" s="95"/>
      <c r="O39" s="95"/>
      <c r="P39" s="95"/>
      <c r="Q39" s="95"/>
      <c r="R39" s="96"/>
      <c r="S39" s="203"/>
      <c r="T39" s="203"/>
      <c r="U39" s="203"/>
      <c r="V39" s="203"/>
      <c r="W39" s="203"/>
      <c r="X39" s="203"/>
      <c r="Y39" s="203"/>
      <c r="Z39" s="203"/>
      <c r="AA39" s="203"/>
      <c r="AB39" s="203"/>
      <c r="AC39" s="203"/>
    </row>
    <row r="40" spans="1:29" ht="15">
      <c r="A40" s="203"/>
      <c r="B40" s="226">
        <v>25</v>
      </c>
      <c r="C40" s="369" t="str">
        <f>IF('INPUT DATA'!L35="","",'INPUT DATA'!L35)</f>
        <v/>
      </c>
      <c r="D40" s="370"/>
      <c r="E40" s="371"/>
      <c r="F40" s="372" t="str">
        <f>IF('INPUT DATA'!M35="","",'INPUT DATA'!M35)</f>
        <v/>
      </c>
      <c r="G40" s="373"/>
      <c r="H40" s="176" t="str">
        <f>IF('INPUT DATA'!N35="","",'INPUT DATA'!N35)</f>
        <v/>
      </c>
      <c r="I40" s="88" t="str">
        <f t="shared" ca="1" si="0"/>
        <v/>
      </c>
      <c r="J40" s="224"/>
      <c r="K40" s="94"/>
      <c r="L40" s="95"/>
      <c r="M40" s="95"/>
      <c r="N40" s="95"/>
      <c r="O40" s="95"/>
      <c r="P40" s="95"/>
      <c r="Q40" s="95"/>
      <c r="R40" s="96"/>
      <c r="S40" s="203"/>
      <c r="T40" s="203"/>
      <c r="U40" s="203"/>
      <c r="V40" s="203"/>
      <c r="W40" s="203"/>
      <c r="X40" s="203"/>
      <c r="Y40" s="203"/>
      <c r="Z40" s="203"/>
      <c r="AA40" s="203"/>
      <c r="AB40" s="203"/>
      <c r="AC40" s="203"/>
    </row>
    <row r="41" spans="1:29" ht="15">
      <c r="A41" s="203"/>
      <c r="B41" s="226">
        <v>26</v>
      </c>
      <c r="C41" s="369" t="str">
        <f>IF('INPUT DATA'!L36="","",'INPUT DATA'!L36)</f>
        <v/>
      </c>
      <c r="D41" s="370"/>
      <c r="E41" s="371"/>
      <c r="F41" s="372" t="str">
        <f>IF('INPUT DATA'!M36="","",'INPUT DATA'!M36)</f>
        <v/>
      </c>
      <c r="G41" s="373"/>
      <c r="H41" s="176" t="str">
        <f>IF('INPUT DATA'!N36="","",'INPUT DATA'!N36)</f>
        <v/>
      </c>
      <c r="I41" s="88" t="str">
        <f t="shared" ca="1" si="0"/>
        <v/>
      </c>
      <c r="J41" s="224"/>
      <c r="K41" s="94"/>
      <c r="L41" s="95"/>
      <c r="M41" s="95"/>
      <c r="N41" s="95"/>
      <c r="O41" s="95"/>
      <c r="P41" s="95"/>
      <c r="Q41" s="95"/>
      <c r="R41" s="96"/>
      <c r="S41" s="203"/>
      <c r="T41" s="203"/>
      <c r="U41" s="203"/>
      <c r="V41" s="203"/>
      <c r="W41" s="203"/>
      <c r="X41" s="203"/>
      <c r="Y41" s="203"/>
      <c r="Z41" s="203"/>
      <c r="AA41" s="203"/>
      <c r="AB41" s="203"/>
      <c r="AC41" s="203"/>
    </row>
    <row r="42" spans="1:29" ht="15">
      <c r="A42" s="203"/>
      <c r="B42" s="226">
        <v>27</v>
      </c>
      <c r="C42" s="369" t="str">
        <f>IF('INPUT DATA'!L37="","",'INPUT DATA'!L37)</f>
        <v/>
      </c>
      <c r="D42" s="370"/>
      <c r="E42" s="371"/>
      <c r="F42" s="372" t="str">
        <f>IF('INPUT DATA'!M37="","",'INPUT DATA'!M37)</f>
        <v/>
      </c>
      <c r="G42" s="373"/>
      <c r="H42" s="176" t="str">
        <f>IF('INPUT DATA'!N37="","",'INPUT DATA'!N37)</f>
        <v/>
      </c>
      <c r="I42" s="88" t="str">
        <f t="shared" ca="1" si="0"/>
        <v/>
      </c>
      <c r="J42" s="224"/>
      <c r="K42" s="94"/>
      <c r="L42" s="95"/>
      <c r="M42" s="95"/>
      <c r="N42" s="95"/>
      <c r="O42" s="95"/>
      <c r="P42" s="95"/>
      <c r="Q42" s="95"/>
      <c r="R42" s="96"/>
      <c r="S42" s="203"/>
      <c r="T42" s="203"/>
      <c r="U42" s="203"/>
      <c r="V42" s="203"/>
      <c r="W42" s="203"/>
      <c r="X42" s="203"/>
      <c r="Y42" s="203"/>
      <c r="Z42" s="203"/>
      <c r="AA42" s="203"/>
      <c r="AB42" s="203"/>
      <c r="AC42" s="203"/>
    </row>
    <row r="43" spans="1:29" ht="15">
      <c r="A43" s="203"/>
      <c r="B43" s="226">
        <v>28</v>
      </c>
      <c r="C43" s="369" t="str">
        <f>IF('INPUT DATA'!L38="","",'INPUT DATA'!L38)</f>
        <v/>
      </c>
      <c r="D43" s="370"/>
      <c r="E43" s="371"/>
      <c r="F43" s="372" t="str">
        <f>IF('INPUT DATA'!M38="","",'INPUT DATA'!M38)</f>
        <v/>
      </c>
      <c r="G43" s="373"/>
      <c r="H43" s="176" t="str">
        <f>IF('INPUT DATA'!N38="","",'INPUT DATA'!N38)</f>
        <v/>
      </c>
      <c r="I43" s="88" t="str">
        <f t="shared" ca="1" si="0"/>
        <v/>
      </c>
      <c r="J43" s="224"/>
      <c r="K43" s="94"/>
      <c r="L43" s="95"/>
      <c r="M43" s="95"/>
      <c r="N43" s="95"/>
      <c r="O43" s="95"/>
      <c r="P43" s="95"/>
      <c r="Q43" s="95"/>
      <c r="R43" s="96"/>
      <c r="S43" s="203"/>
      <c r="T43" s="203"/>
      <c r="U43" s="203"/>
      <c r="V43" s="203"/>
      <c r="W43" s="203"/>
      <c r="X43" s="203"/>
      <c r="Y43" s="203"/>
      <c r="Z43" s="203"/>
      <c r="AA43" s="203"/>
      <c r="AB43" s="203"/>
      <c r="AC43" s="203"/>
    </row>
    <row r="44" spans="1:29" ht="15">
      <c r="A44" s="203"/>
      <c r="B44" s="226">
        <v>29</v>
      </c>
      <c r="C44" s="369" t="str">
        <f>IF('INPUT DATA'!L39="","",'INPUT DATA'!L39)</f>
        <v/>
      </c>
      <c r="D44" s="370"/>
      <c r="E44" s="371"/>
      <c r="F44" s="372" t="str">
        <f>IF('INPUT DATA'!M39="","",'INPUT DATA'!M39)</f>
        <v/>
      </c>
      <c r="G44" s="373"/>
      <c r="H44" s="176" t="str">
        <f>IF('INPUT DATA'!N39="","",'INPUT DATA'!N39)</f>
        <v/>
      </c>
      <c r="I44" s="88" t="str">
        <f t="shared" ca="1" si="0"/>
        <v/>
      </c>
      <c r="J44" s="224"/>
      <c r="K44" s="94"/>
      <c r="L44" s="95"/>
      <c r="M44" s="95"/>
      <c r="N44" s="95"/>
      <c r="O44" s="95"/>
      <c r="P44" s="95"/>
      <c r="Q44" s="95"/>
      <c r="R44" s="96"/>
      <c r="S44" s="203"/>
      <c r="T44" s="203"/>
      <c r="U44" s="203"/>
      <c r="V44" s="203"/>
      <c r="W44" s="203"/>
      <c r="X44" s="203"/>
      <c r="Y44" s="203"/>
      <c r="Z44" s="203"/>
      <c r="AA44" s="203"/>
      <c r="AB44" s="203"/>
      <c r="AC44" s="203"/>
    </row>
    <row r="45" spans="1:29" ht="15">
      <c r="A45" s="203"/>
      <c r="B45" s="226">
        <v>30</v>
      </c>
      <c r="C45" s="369" t="str">
        <f>IF('INPUT DATA'!L40="","",'INPUT DATA'!L40)</f>
        <v/>
      </c>
      <c r="D45" s="370"/>
      <c r="E45" s="371"/>
      <c r="F45" s="372" t="str">
        <f>IF('INPUT DATA'!M40="","",'INPUT DATA'!M40)</f>
        <v/>
      </c>
      <c r="G45" s="373"/>
      <c r="H45" s="176" t="str">
        <f>IF('INPUT DATA'!N40="","",'INPUT DATA'!N40)</f>
        <v/>
      </c>
      <c r="I45" s="88" t="str">
        <f t="shared" ca="1" si="0"/>
        <v/>
      </c>
      <c r="J45" s="224"/>
      <c r="K45" s="94"/>
      <c r="L45" s="95"/>
      <c r="M45" s="95"/>
      <c r="N45" s="95"/>
      <c r="O45" s="95"/>
      <c r="P45" s="95"/>
      <c r="Q45" s="95"/>
      <c r="R45" s="96"/>
      <c r="S45" s="203"/>
      <c r="T45" s="203"/>
      <c r="U45" s="203"/>
      <c r="V45" s="203"/>
      <c r="W45" s="203"/>
      <c r="X45" s="203"/>
      <c r="Y45" s="203"/>
      <c r="Z45" s="203"/>
      <c r="AA45" s="203"/>
      <c r="AB45" s="203"/>
      <c r="AC45" s="203"/>
    </row>
    <row r="46" spans="1:29" ht="15">
      <c r="A46" s="203"/>
      <c r="B46" s="226">
        <v>31</v>
      </c>
      <c r="C46" s="369" t="str">
        <f>IF('INPUT DATA'!L41="","",'INPUT DATA'!L41)</f>
        <v/>
      </c>
      <c r="D46" s="370"/>
      <c r="E46" s="371"/>
      <c r="F46" s="372" t="str">
        <f>IF('INPUT DATA'!M41="","",'INPUT DATA'!M41)</f>
        <v/>
      </c>
      <c r="G46" s="373"/>
      <c r="H46" s="176" t="str">
        <f>IF('INPUT DATA'!N41="","",'INPUT DATA'!N41)</f>
        <v/>
      </c>
      <c r="I46" s="88" t="str">
        <f t="shared" ca="1" si="0"/>
        <v/>
      </c>
      <c r="J46" s="224"/>
      <c r="K46" s="94"/>
      <c r="L46" s="95"/>
      <c r="M46" s="95"/>
      <c r="N46" s="95"/>
      <c r="O46" s="95"/>
      <c r="P46" s="95"/>
      <c r="Q46" s="95"/>
      <c r="R46" s="96"/>
      <c r="S46" s="203"/>
      <c r="T46" s="203"/>
      <c r="U46" s="203"/>
      <c r="V46" s="203"/>
      <c r="W46" s="203"/>
      <c r="X46" s="203"/>
      <c r="Y46" s="203"/>
      <c r="Z46" s="203"/>
      <c r="AA46" s="203"/>
      <c r="AB46" s="203"/>
      <c r="AC46" s="203"/>
    </row>
    <row r="47" spans="1:29" ht="15">
      <c r="A47" s="203"/>
      <c r="B47" s="226">
        <v>32</v>
      </c>
      <c r="C47" s="369" t="str">
        <f>IF('INPUT DATA'!L42="","",'INPUT DATA'!L42)</f>
        <v/>
      </c>
      <c r="D47" s="370"/>
      <c r="E47" s="371"/>
      <c r="F47" s="372" t="str">
        <f>IF('INPUT DATA'!M42="","",'INPUT DATA'!M42)</f>
        <v/>
      </c>
      <c r="G47" s="373"/>
      <c r="H47" s="176" t="str">
        <f>IF('INPUT DATA'!N42="","",'INPUT DATA'!N42)</f>
        <v/>
      </c>
      <c r="I47" s="88" t="str">
        <f t="shared" ca="1" si="0"/>
        <v/>
      </c>
      <c r="J47" s="224"/>
      <c r="K47" s="94"/>
      <c r="L47" s="95"/>
      <c r="M47" s="95"/>
      <c r="N47" s="95"/>
      <c r="O47" s="95"/>
      <c r="P47" s="95"/>
      <c r="Q47" s="95"/>
      <c r="R47" s="96"/>
      <c r="S47" s="203"/>
      <c r="T47" s="203"/>
      <c r="U47" s="203"/>
      <c r="V47" s="203"/>
      <c r="W47" s="203"/>
      <c r="X47" s="203"/>
      <c r="Y47" s="203"/>
      <c r="Z47" s="203"/>
      <c r="AA47" s="203"/>
      <c r="AB47" s="203"/>
      <c r="AC47" s="203"/>
    </row>
    <row r="48" spans="1:29" ht="15">
      <c r="A48" s="203"/>
      <c r="B48" s="226">
        <v>33</v>
      </c>
      <c r="C48" s="369" t="str">
        <f>IF('INPUT DATA'!L43="","",'INPUT DATA'!L43)</f>
        <v/>
      </c>
      <c r="D48" s="370"/>
      <c r="E48" s="371"/>
      <c r="F48" s="372" t="str">
        <f>IF('INPUT DATA'!M43="","",'INPUT DATA'!M43)</f>
        <v/>
      </c>
      <c r="G48" s="373"/>
      <c r="H48" s="176" t="str">
        <f>IF('INPUT DATA'!N43="","",'INPUT DATA'!N43)</f>
        <v/>
      </c>
      <c r="I48" s="88" t="str">
        <f t="shared" ca="1" si="0"/>
        <v/>
      </c>
      <c r="J48" s="224"/>
      <c r="K48" s="94"/>
      <c r="L48" s="95"/>
      <c r="M48" s="95"/>
      <c r="N48" s="95"/>
      <c r="O48" s="95"/>
      <c r="P48" s="95"/>
      <c r="Q48" s="95"/>
      <c r="R48" s="96"/>
      <c r="S48" s="203"/>
      <c r="T48" s="203"/>
      <c r="U48" s="203"/>
      <c r="V48" s="203"/>
      <c r="W48" s="203"/>
      <c r="X48" s="203"/>
      <c r="Y48" s="203"/>
      <c r="Z48" s="203"/>
      <c r="AA48" s="203"/>
      <c r="AB48" s="203"/>
      <c r="AC48" s="203"/>
    </row>
    <row r="49" spans="1:29" ht="15">
      <c r="A49" s="203"/>
      <c r="B49" s="226">
        <v>34</v>
      </c>
      <c r="C49" s="369" t="str">
        <f>IF('INPUT DATA'!L44="","",'INPUT DATA'!L44)</f>
        <v/>
      </c>
      <c r="D49" s="370"/>
      <c r="E49" s="371"/>
      <c r="F49" s="372" t="str">
        <f>IF('INPUT DATA'!M44="","",'INPUT DATA'!M44)</f>
        <v/>
      </c>
      <c r="G49" s="373"/>
      <c r="H49" s="176" t="str">
        <f>IF('INPUT DATA'!N44="","",'INPUT DATA'!N44)</f>
        <v/>
      </c>
      <c r="I49" s="88" t="str">
        <f t="shared" ca="1" si="0"/>
        <v/>
      </c>
      <c r="J49" s="224"/>
      <c r="K49" s="94"/>
      <c r="L49" s="95"/>
      <c r="M49" s="95"/>
      <c r="N49" s="95"/>
      <c r="O49" s="95"/>
      <c r="P49" s="95"/>
      <c r="Q49" s="95"/>
      <c r="R49" s="96"/>
      <c r="S49" s="203"/>
      <c r="T49" s="203"/>
      <c r="U49" s="203"/>
      <c r="V49" s="203"/>
      <c r="W49" s="203"/>
      <c r="X49" s="203"/>
      <c r="Y49" s="203"/>
      <c r="Z49" s="203"/>
      <c r="AA49" s="203"/>
      <c r="AB49" s="203"/>
      <c r="AC49" s="203"/>
    </row>
    <row r="50" spans="1:29" ht="15">
      <c r="A50" s="203"/>
      <c r="B50" s="226">
        <v>35</v>
      </c>
      <c r="C50" s="369" t="str">
        <f>IF('INPUT DATA'!L45="","",'INPUT DATA'!L45)</f>
        <v/>
      </c>
      <c r="D50" s="370"/>
      <c r="E50" s="371"/>
      <c r="F50" s="372" t="str">
        <f>IF('INPUT DATA'!M45="","",'INPUT DATA'!M45)</f>
        <v/>
      </c>
      <c r="G50" s="373"/>
      <c r="H50" s="176" t="str">
        <f>IF('INPUT DATA'!N45="","",'INPUT DATA'!N45)</f>
        <v/>
      </c>
      <c r="I50" s="88" t="str">
        <f t="shared" ca="1" si="0"/>
        <v/>
      </c>
      <c r="J50" s="224"/>
      <c r="K50" s="94"/>
      <c r="L50" s="95"/>
      <c r="M50" s="95"/>
      <c r="N50" s="95"/>
      <c r="O50" s="95"/>
      <c r="P50" s="95"/>
      <c r="Q50" s="95"/>
      <c r="R50" s="96"/>
      <c r="S50" s="203"/>
      <c r="T50" s="203"/>
      <c r="U50" s="203"/>
      <c r="V50" s="203"/>
      <c r="W50" s="203"/>
      <c r="X50" s="203"/>
      <c r="Y50" s="203"/>
      <c r="Z50" s="203"/>
      <c r="AA50" s="203"/>
      <c r="AB50" s="203"/>
      <c r="AC50" s="203"/>
    </row>
    <row r="51" spans="1:29" ht="15">
      <c r="A51" s="203"/>
      <c r="B51" s="226">
        <v>36</v>
      </c>
      <c r="C51" s="369" t="str">
        <f>IF('INPUT DATA'!L46="","",'INPUT DATA'!L46)</f>
        <v/>
      </c>
      <c r="D51" s="370"/>
      <c r="E51" s="371"/>
      <c r="F51" s="372" t="str">
        <f>IF('INPUT DATA'!M46="","",'INPUT DATA'!M46)</f>
        <v/>
      </c>
      <c r="G51" s="373"/>
      <c r="H51" s="176" t="str">
        <f>IF('INPUT DATA'!N46="","",'INPUT DATA'!N46)</f>
        <v/>
      </c>
      <c r="I51" s="88" t="str">
        <f t="shared" ca="1" si="0"/>
        <v/>
      </c>
      <c r="J51" s="224"/>
      <c r="K51" s="94"/>
      <c r="L51" s="95"/>
      <c r="M51" s="95"/>
      <c r="N51" s="95"/>
      <c r="O51" s="95"/>
      <c r="P51" s="95"/>
      <c r="Q51" s="95"/>
      <c r="R51" s="96"/>
      <c r="S51" s="203"/>
      <c r="T51" s="203"/>
      <c r="U51" s="203"/>
      <c r="V51" s="203"/>
      <c r="W51" s="203"/>
      <c r="X51" s="203"/>
      <c r="Y51" s="203"/>
      <c r="Z51" s="203"/>
      <c r="AA51" s="203"/>
      <c r="AB51" s="203"/>
      <c r="AC51" s="203"/>
    </row>
    <row r="52" spans="1:29" ht="15">
      <c r="A52" s="203"/>
      <c r="B52" s="226">
        <v>37</v>
      </c>
      <c r="C52" s="369" t="str">
        <f>IF('INPUT DATA'!L47="","",'INPUT DATA'!L47)</f>
        <v/>
      </c>
      <c r="D52" s="370"/>
      <c r="E52" s="371"/>
      <c r="F52" s="372" t="str">
        <f>IF('INPUT DATA'!M47="","",'INPUT DATA'!M47)</f>
        <v/>
      </c>
      <c r="G52" s="373"/>
      <c r="H52" s="176" t="str">
        <f>IF('INPUT DATA'!N47="","",'INPUT DATA'!N47)</f>
        <v/>
      </c>
      <c r="I52" s="88" t="str">
        <f t="shared" ca="1" si="0"/>
        <v/>
      </c>
      <c r="J52" s="224"/>
      <c r="K52" s="94"/>
      <c r="L52" s="95"/>
      <c r="M52" s="95"/>
      <c r="N52" s="95"/>
      <c r="O52" s="95"/>
      <c r="P52" s="95"/>
      <c r="Q52" s="95"/>
      <c r="R52" s="96"/>
      <c r="S52" s="203"/>
      <c r="T52" s="203"/>
      <c r="U52" s="203"/>
      <c r="V52" s="203"/>
      <c r="W52" s="203"/>
      <c r="X52" s="203"/>
      <c r="Y52" s="203"/>
      <c r="Z52" s="203"/>
      <c r="AA52" s="203"/>
      <c r="AB52" s="203"/>
      <c r="AC52" s="203"/>
    </row>
    <row r="53" spans="1:29" ht="15">
      <c r="A53" s="203"/>
      <c r="B53" s="226">
        <v>38</v>
      </c>
      <c r="C53" s="369" t="str">
        <f>IF('INPUT DATA'!L48="","",'INPUT DATA'!L48)</f>
        <v/>
      </c>
      <c r="D53" s="370"/>
      <c r="E53" s="371"/>
      <c r="F53" s="372" t="str">
        <f>IF('INPUT DATA'!M48="","",'INPUT DATA'!M48)</f>
        <v/>
      </c>
      <c r="G53" s="373"/>
      <c r="H53" s="176" t="str">
        <f>IF('INPUT DATA'!N48="","",'INPUT DATA'!N48)</f>
        <v/>
      </c>
      <c r="I53" s="88" t="str">
        <f t="shared" ca="1" si="0"/>
        <v/>
      </c>
      <c r="J53" s="224"/>
      <c r="K53" s="94"/>
      <c r="L53" s="95"/>
      <c r="M53" s="95"/>
      <c r="N53" s="95"/>
      <c r="O53" s="95"/>
      <c r="P53" s="95"/>
      <c r="Q53" s="95"/>
      <c r="R53" s="96"/>
      <c r="S53" s="203"/>
      <c r="T53" s="203"/>
      <c r="U53" s="203"/>
      <c r="V53" s="203"/>
      <c r="W53" s="203"/>
      <c r="X53" s="203"/>
      <c r="Y53" s="203"/>
      <c r="Z53" s="203"/>
      <c r="AA53" s="203"/>
      <c r="AB53" s="203"/>
      <c r="AC53" s="203"/>
    </row>
    <row r="54" spans="1:29" ht="15">
      <c r="A54" s="203"/>
      <c r="B54" s="226">
        <v>39</v>
      </c>
      <c r="C54" s="369" t="str">
        <f>IF('INPUT DATA'!L49="","",'INPUT DATA'!L49)</f>
        <v/>
      </c>
      <c r="D54" s="370"/>
      <c r="E54" s="371"/>
      <c r="F54" s="372" t="str">
        <f>IF('INPUT DATA'!M49="","",'INPUT DATA'!M49)</f>
        <v/>
      </c>
      <c r="G54" s="373"/>
      <c r="H54" s="176" t="str">
        <f>IF('INPUT DATA'!N49="","",'INPUT DATA'!N49)</f>
        <v/>
      </c>
      <c r="I54" s="88" t="str">
        <f t="shared" ca="1" si="0"/>
        <v/>
      </c>
      <c r="J54" s="224"/>
      <c r="K54" s="94"/>
      <c r="L54" s="95"/>
      <c r="M54" s="95"/>
      <c r="N54" s="95"/>
      <c r="O54" s="95"/>
      <c r="P54" s="95"/>
      <c r="Q54" s="95"/>
      <c r="R54" s="96"/>
      <c r="S54" s="203"/>
      <c r="T54" s="203"/>
      <c r="U54" s="203"/>
      <c r="V54" s="203"/>
      <c r="W54" s="203"/>
      <c r="X54" s="203"/>
      <c r="Y54" s="203"/>
      <c r="Z54" s="203"/>
      <c r="AA54" s="203"/>
      <c r="AB54" s="203"/>
      <c r="AC54" s="203"/>
    </row>
    <row r="55" spans="1:29" ht="15">
      <c r="A55" s="203"/>
      <c r="B55" s="226">
        <v>40</v>
      </c>
      <c r="C55" s="369" t="str">
        <f>IF('INPUT DATA'!L50="","",'INPUT DATA'!L50)</f>
        <v/>
      </c>
      <c r="D55" s="370"/>
      <c r="E55" s="371"/>
      <c r="F55" s="372" t="str">
        <f>IF('INPUT DATA'!M50="","",'INPUT DATA'!M50)</f>
        <v/>
      </c>
      <c r="G55" s="373"/>
      <c r="H55" s="176" t="str">
        <f>IF('INPUT DATA'!N50="","",'INPUT DATA'!N50)</f>
        <v/>
      </c>
      <c r="I55" s="88" t="str">
        <f t="shared" ca="1" si="0"/>
        <v/>
      </c>
      <c r="J55" s="224"/>
      <c r="K55" s="94"/>
      <c r="L55" s="95"/>
      <c r="M55" s="95"/>
      <c r="N55" s="95"/>
      <c r="O55" s="95"/>
      <c r="P55" s="95"/>
      <c r="Q55" s="95"/>
      <c r="R55" s="96"/>
      <c r="S55" s="203"/>
      <c r="T55" s="203"/>
      <c r="U55" s="203"/>
      <c r="V55" s="203"/>
      <c r="W55" s="203"/>
      <c r="X55" s="203"/>
      <c r="Y55" s="203"/>
      <c r="Z55" s="203"/>
      <c r="AA55" s="203"/>
      <c r="AB55" s="203"/>
      <c r="AC55" s="203"/>
    </row>
    <row r="56" spans="1:29" ht="15">
      <c r="A56" s="203"/>
      <c r="B56" s="226">
        <v>41</v>
      </c>
      <c r="C56" s="369" t="str">
        <f>IF('INPUT DATA'!L51="","",'INPUT DATA'!L51)</f>
        <v/>
      </c>
      <c r="D56" s="370"/>
      <c r="E56" s="371"/>
      <c r="F56" s="372" t="str">
        <f>IF('INPUT DATA'!M51="","",'INPUT DATA'!M51)</f>
        <v/>
      </c>
      <c r="G56" s="373"/>
      <c r="H56" s="176" t="str">
        <f>IF('INPUT DATA'!N51="","",'INPUT DATA'!N51)</f>
        <v/>
      </c>
      <c r="I56" s="88" t="str">
        <f t="shared" ca="1" si="0"/>
        <v/>
      </c>
      <c r="J56" s="224"/>
      <c r="K56" s="94"/>
      <c r="L56" s="95"/>
      <c r="M56" s="95"/>
      <c r="N56" s="95"/>
      <c r="O56" s="95"/>
      <c r="P56" s="95"/>
      <c r="Q56" s="95"/>
      <c r="R56" s="96"/>
      <c r="S56" s="203"/>
      <c r="T56" s="203"/>
      <c r="U56" s="203"/>
      <c r="V56" s="203"/>
      <c r="W56" s="203"/>
      <c r="X56" s="203"/>
      <c r="Y56" s="203"/>
      <c r="Z56" s="203"/>
      <c r="AA56" s="203"/>
      <c r="AB56" s="203"/>
      <c r="AC56" s="203"/>
    </row>
    <row r="57" spans="1:29" ht="15">
      <c r="A57" s="203"/>
      <c r="B57" s="226">
        <v>42</v>
      </c>
      <c r="C57" s="369" t="str">
        <f>IF('INPUT DATA'!L52="","",'INPUT DATA'!L52)</f>
        <v/>
      </c>
      <c r="D57" s="370"/>
      <c r="E57" s="371"/>
      <c r="F57" s="372" t="str">
        <f>IF('INPUT DATA'!M52="","",'INPUT DATA'!M52)</f>
        <v/>
      </c>
      <c r="G57" s="373"/>
      <c r="H57" s="176" t="str">
        <f>IF('INPUT DATA'!N52="","",'INPUT DATA'!N52)</f>
        <v/>
      </c>
      <c r="I57" s="88" t="str">
        <f t="shared" ca="1" si="0"/>
        <v/>
      </c>
      <c r="J57" s="224"/>
      <c r="K57" s="94"/>
      <c r="L57" s="95"/>
      <c r="M57" s="95"/>
      <c r="N57" s="95"/>
      <c r="O57" s="95"/>
      <c r="P57" s="95"/>
      <c r="Q57" s="95"/>
      <c r="R57" s="96"/>
      <c r="S57" s="203"/>
      <c r="T57" s="203"/>
      <c r="U57" s="203"/>
      <c r="V57" s="203"/>
      <c r="W57" s="203"/>
      <c r="X57" s="203"/>
      <c r="Y57" s="203"/>
      <c r="Z57" s="203"/>
      <c r="AA57" s="203"/>
      <c r="AB57" s="203"/>
      <c r="AC57" s="203"/>
    </row>
    <row r="58" spans="1:29" ht="15">
      <c r="A58" s="203"/>
      <c r="B58" s="226">
        <v>43</v>
      </c>
      <c r="C58" s="369" t="str">
        <f>IF('INPUT DATA'!L53="","",'INPUT DATA'!L53)</f>
        <v/>
      </c>
      <c r="D58" s="370"/>
      <c r="E58" s="371"/>
      <c r="F58" s="372" t="str">
        <f>IF('INPUT DATA'!M53="","",'INPUT DATA'!M53)</f>
        <v/>
      </c>
      <c r="G58" s="373"/>
      <c r="H58" s="176" t="str">
        <f>IF('INPUT DATA'!N53="","",'INPUT DATA'!N53)</f>
        <v/>
      </c>
      <c r="I58" s="88" t="str">
        <f t="shared" ca="1" si="0"/>
        <v/>
      </c>
      <c r="J58" s="224"/>
      <c r="K58" s="94"/>
      <c r="L58" s="95"/>
      <c r="M58" s="95"/>
      <c r="N58" s="95"/>
      <c r="O58" s="95"/>
      <c r="P58" s="95"/>
      <c r="Q58" s="95"/>
      <c r="R58" s="96"/>
      <c r="S58" s="203"/>
      <c r="T58" s="203"/>
      <c r="U58" s="203"/>
      <c r="V58" s="203"/>
      <c r="W58" s="203"/>
      <c r="X58" s="203"/>
      <c r="Y58" s="203"/>
      <c r="Z58" s="203"/>
      <c r="AA58" s="203"/>
      <c r="AB58" s="203"/>
      <c r="AC58" s="203"/>
    </row>
    <row r="59" spans="1:29" ht="15">
      <c r="A59" s="203"/>
      <c r="B59" s="226">
        <v>44</v>
      </c>
      <c r="C59" s="369" t="str">
        <f>IF('INPUT DATA'!L54="","",'INPUT DATA'!L54)</f>
        <v/>
      </c>
      <c r="D59" s="370"/>
      <c r="E59" s="371"/>
      <c r="F59" s="372" t="str">
        <f>IF('INPUT DATA'!M54="","",'INPUT DATA'!M54)</f>
        <v/>
      </c>
      <c r="G59" s="373"/>
      <c r="H59" s="176" t="str">
        <f>IF('INPUT DATA'!N54="","",'INPUT DATA'!N54)</f>
        <v/>
      </c>
      <c r="I59" s="88" t="str">
        <f t="shared" ca="1" si="0"/>
        <v/>
      </c>
      <c r="J59" s="224"/>
      <c r="K59" s="94"/>
      <c r="L59" s="95"/>
      <c r="M59" s="95"/>
      <c r="N59" s="95"/>
      <c r="O59" s="95"/>
      <c r="P59" s="95"/>
      <c r="Q59" s="95"/>
      <c r="R59" s="96"/>
      <c r="S59" s="203"/>
      <c r="T59" s="203"/>
      <c r="U59" s="203"/>
      <c r="V59" s="203"/>
      <c r="W59" s="203"/>
      <c r="X59" s="203"/>
      <c r="Y59" s="203"/>
      <c r="Z59" s="203"/>
      <c r="AA59" s="203"/>
      <c r="AB59" s="203"/>
      <c r="AC59" s="203"/>
    </row>
    <row r="60" spans="1:29" ht="15">
      <c r="A60" s="203"/>
      <c r="B60" s="226">
        <v>45</v>
      </c>
      <c r="C60" s="369" t="str">
        <f>IF('INPUT DATA'!L55="","",'INPUT DATA'!L55)</f>
        <v/>
      </c>
      <c r="D60" s="370"/>
      <c r="E60" s="371"/>
      <c r="F60" s="372" t="str">
        <f>IF('INPUT DATA'!M55="","",'INPUT DATA'!M55)</f>
        <v/>
      </c>
      <c r="G60" s="373"/>
      <c r="H60" s="176" t="str">
        <f>IF('INPUT DATA'!N55="","",'INPUT DATA'!N55)</f>
        <v/>
      </c>
      <c r="I60" s="88" t="str">
        <f t="shared" ca="1" si="0"/>
        <v/>
      </c>
      <c r="J60" s="224"/>
      <c r="K60" s="97"/>
      <c r="L60" s="98"/>
      <c r="M60" s="98"/>
      <c r="N60" s="98"/>
      <c r="O60" s="98"/>
      <c r="P60" s="98"/>
      <c r="Q60" s="98"/>
      <c r="R60" s="99"/>
      <c r="S60" s="203"/>
      <c r="T60" s="203"/>
      <c r="U60" s="203"/>
      <c r="V60" s="203"/>
      <c r="W60" s="203"/>
      <c r="X60" s="203"/>
      <c r="Y60" s="203"/>
      <c r="Z60" s="203"/>
      <c r="AA60" s="203"/>
      <c r="AB60" s="203"/>
      <c r="AC60" s="203"/>
    </row>
    <row r="61" spans="1:29" ht="15">
      <c r="A61" s="203"/>
      <c r="B61" s="226">
        <v>46</v>
      </c>
      <c r="C61" s="369" t="str">
        <f>IF('INPUT DATA'!L56="","",'INPUT DATA'!L56)</f>
        <v/>
      </c>
      <c r="D61" s="370"/>
      <c r="E61" s="371"/>
      <c r="F61" s="372" t="str">
        <f>IF('INPUT DATA'!M56="","",'INPUT DATA'!M56)</f>
        <v/>
      </c>
      <c r="G61" s="373"/>
      <c r="H61" s="176" t="str">
        <f>IF('INPUT DATA'!N56="","",'INPUT DATA'!N56)</f>
        <v/>
      </c>
      <c r="I61" s="88" t="str">
        <f t="shared" ca="1" si="0"/>
        <v/>
      </c>
      <c r="J61" s="224"/>
      <c r="K61" s="94"/>
      <c r="L61" s="95"/>
      <c r="M61" s="95"/>
      <c r="N61" s="95"/>
      <c r="O61" s="95"/>
      <c r="P61" s="95"/>
      <c r="Q61" s="95"/>
      <c r="R61" s="96"/>
      <c r="S61" s="203"/>
      <c r="T61" s="203"/>
      <c r="U61" s="203"/>
      <c r="V61" s="203"/>
      <c r="W61" s="203"/>
      <c r="X61" s="203"/>
      <c r="Y61" s="203"/>
      <c r="Z61" s="203"/>
      <c r="AA61" s="203"/>
      <c r="AB61" s="203"/>
      <c r="AC61" s="203"/>
    </row>
    <row r="62" spans="1:29" ht="15">
      <c r="A62" s="203"/>
      <c r="B62" s="226">
        <v>47</v>
      </c>
      <c r="C62" s="369" t="str">
        <f>IF('INPUT DATA'!L57="","",'INPUT DATA'!L57)</f>
        <v/>
      </c>
      <c r="D62" s="370"/>
      <c r="E62" s="371"/>
      <c r="F62" s="372" t="str">
        <f>IF('INPUT DATA'!M57="","",'INPUT DATA'!M57)</f>
        <v/>
      </c>
      <c r="G62" s="373"/>
      <c r="H62" s="176" t="str">
        <f>IF('INPUT DATA'!N57="","",'INPUT DATA'!N57)</f>
        <v/>
      </c>
      <c r="I62" s="88" t="str">
        <f t="shared" ca="1" si="0"/>
        <v/>
      </c>
      <c r="J62" s="224"/>
      <c r="K62" s="94"/>
      <c r="L62" s="95"/>
      <c r="M62" s="95"/>
      <c r="N62" s="95"/>
      <c r="O62" s="95"/>
      <c r="P62" s="95"/>
      <c r="Q62" s="95"/>
      <c r="R62" s="96"/>
      <c r="S62" s="203"/>
      <c r="T62" s="203"/>
      <c r="U62" s="203"/>
      <c r="V62" s="203"/>
      <c r="W62" s="203"/>
      <c r="X62" s="203"/>
      <c r="Y62" s="203"/>
      <c r="Z62" s="203"/>
      <c r="AA62" s="203"/>
      <c r="AB62" s="203"/>
      <c r="AC62" s="203"/>
    </row>
    <row r="63" spans="1:29" ht="15">
      <c r="A63" s="203"/>
      <c r="B63" s="226">
        <v>48</v>
      </c>
      <c r="C63" s="369" t="str">
        <f>IF('INPUT DATA'!L58="","",'INPUT DATA'!L58)</f>
        <v/>
      </c>
      <c r="D63" s="370"/>
      <c r="E63" s="371"/>
      <c r="F63" s="372" t="str">
        <f>IF('INPUT DATA'!M58="","",'INPUT DATA'!M58)</f>
        <v/>
      </c>
      <c r="G63" s="373"/>
      <c r="H63" s="176" t="str">
        <f>IF('INPUT DATA'!N58="","",'INPUT DATA'!N58)</f>
        <v/>
      </c>
      <c r="I63" s="88" t="str">
        <f t="shared" ca="1" si="0"/>
        <v/>
      </c>
      <c r="J63" s="224"/>
      <c r="K63" s="94"/>
      <c r="L63" s="95"/>
      <c r="M63" s="95"/>
      <c r="N63" s="95"/>
      <c r="O63" s="95"/>
      <c r="P63" s="95"/>
      <c r="Q63" s="95"/>
      <c r="R63" s="96"/>
      <c r="S63" s="203"/>
      <c r="T63" s="203"/>
      <c r="U63" s="203"/>
      <c r="V63" s="203"/>
      <c r="W63" s="203"/>
      <c r="X63" s="203"/>
      <c r="Y63" s="203"/>
      <c r="Z63" s="203"/>
      <c r="AA63" s="203"/>
      <c r="AB63" s="203"/>
      <c r="AC63" s="203"/>
    </row>
    <row r="64" spans="1:29" ht="15">
      <c r="A64" s="203"/>
      <c r="B64" s="226">
        <v>49</v>
      </c>
      <c r="C64" s="369" t="str">
        <f>IF('INPUT DATA'!L59="","",'INPUT DATA'!L59)</f>
        <v/>
      </c>
      <c r="D64" s="370"/>
      <c r="E64" s="371"/>
      <c r="F64" s="372" t="str">
        <f>IF('INPUT DATA'!M59="","",'INPUT DATA'!M59)</f>
        <v/>
      </c>
      <c r="G64" s="373"/>
      <c r="H64" s="176" t="str">
        <f>IF('INPUT DATA'!N59="","",'INPUT DATA'!N59)</f>
        <v/>
      </c>
      <c r="I64" s="88" t="str">
        <f t="shared" ca="1" si="0"/>
        <v/>
      </c>
      <c r="J64" s="224"/>
      <c r="K64" s="94"/>
      <c r="L64" s="95"/>
      <c r="M64" s="95"/>
      <c r="N64" s="95"/>
      <c r="O64" s="95"/>
      <c r="P64" s="95"/>
      <c r="Q64" s="95"/>
      <c r="R64" s="96"/>
      <c r="S64" s="203"/>
      <c r="T64" s="203"/>
      <c r="U64" s="203"/>
      <c r="V64" s="203"/>
      <c r="W64" s="203"/>
      <c r="X64" s="203"/>
      <c r="Y64" s="203"/>
      <c r="Z64" s="203"/>
      <c r="AA64" s="203"/>
      <c r="AB64" s="203"/>
      <c r="AC64" s="203"/>
    </row>
    <row r="65" spans="1:29" ht="15.6" thickBot="1">
      <c r="A65" s="203"/>
      <c r="B65" s="227">
        <v>50</v>
      </c>
      <c r="C65" s="443" t="str">
        <f>IF('INPUT DATA'!L60="","",'INPUT DATA'!L60)</f>
        <v/>
      </c>
      <c r="D65" s="444"/>
      <c r="E65" s="445"/>
      <c r="F65" s="446" t="str">
        <f>IF('INPUT DATA'!M60="","",'INPUT DATA'!M60)</f>
        <v/>
      </c>
      <c r="G65" s="447"/>
      <c r="H65" s="177" t="str">
        <f>IF('INPUT DATA'!N60="","",'INPUT DATA'!N60)</f>
        <v/>
      </c>
      <c r="I65" s="88" t="str">
        <f t="shared" ca="1" si="0"/>
        <v/>
      </c>
      <c r="J65" s="228"/>
      <c r="K65" s="100"/>
      <c r="L65" s="101"/>
      <c r="M65" s="101"/>
      <c r="N65" s="101"/>
      <c r="O65" s="101"/>
      <c r="P65" s="101"/>
      <c r="Q65" s="101"/>
      <c r="R65" s="102"/>
      <c r="S65" s="203"/>
      <c r="T65" s="203"/>
      <c r="U65" s="203"/>
      <c r="V65" s="203"/>
      <c r="W65" s="203"/>
      <c r="X65" s="203"/>
      <c r="Y65" s="203"/>
      <c r="Z65" s="203"/>
      <c r="AA65" s="203"/>
      <c r="AB65" s="203"/>
      <c r="AC65" s="203"/>
    </row>
    <row r="66" spans="1:29" ht="16.2" thickBot="1">
      <c r="A66" s="203"/>
      <c r="B66" s="230" t="s">
        <v>13</v>
      </c>
      <c r="C66" s="231"/>
      <c r="D66" s="231"/>
      <c r="E66" s="231"/>
      <c r="F66" s="231"/>
      <c r="G66" s="231"/>
      <c r="H66" s="231"/>
      <c r="I66" s="233"/>
      <c r="J66" s="232"/>
      <c r="K66" s="233"/>
      <c r="L66" s="233"/>
      <c r="M66" s="233"/>
      <c r="N66" s="233"/>
      <c r="O66" s="233"/>
      <c r="P66" s="233"/>
      <c r="Q66" s="233"/>
      <c r="R66" s="234"/>
      <c r="S66" s="203"/>
      <c r="T66" s="203"/>
      <c r="U66" s="203"/>
      <c r="V66" s="203"/>
      <c r="W66" s="203"/>
      <c r="X66" s="203"/>
      <c r="Y66" s="203"/>
      <c r="Z66" s="203"/>
      <c r="AA66" s="203"/>
      <c r="AB66" s="203"/>
      <c r="AC66" s="203"/>
    </row>
    <row r="67" spans="1:29" ht="15">
      <c r="A67" s="203"/>
      <c r="B67" s="220">
        <v>1</v>
      </c>
      <c r="C67" s="435" t="str">
        <f>IF('INPUT DATA'!Q11="","",'INPUT DATA'!Q11)</f>
        <v/>
      </c>
      <c r="D67" s="436"/>
      <c r="E67" s="437"/>
      <c r="F67" s="438" t="str">
        <f>IF('INPUT DATA'!T11="","",'INPUT DATA'!T11)</f>
        <v/>
      </c>
      <c r="G67" s="439"/>
      <c r="H67" s="178" t="str">
        <f>IF('INPUT DATA'!S11="","",'INPUT DATA'!S11)</f>
        <v/>
      </c>
      <c r="I67" s="38" t="str">
        <f ca="1">IF(H67="","",DATEDIF(H67,TODAY(),"Y"))</f>
        <v/>
      </c>
      <c r="J67" s="235" t="s">
        <v>101</v>
      </c>
      <c r="K67" s="91"/>
      <c r="L67" s="92"/>
      <c r="M67" s="92"/>
      <c r="N67" s="92"/>
      <c r="O67" s="92"/>
      <c r="P67" s="92"/>
      <c r="Q67" s="92"/>
      <c r="R67" s="93"/>
      <c r="S67" s="203"/>
      <c r="T67" s="203"/>
      <c r="U67" s="203"/>
      <c r="V67" s="203"/>
      <c r="W67" s="203"/>
      <c r="X67" s="203"/>
      <c r="Y67" s="203"/>
      <c r="Z67" s="203"/>
      <c r="AA67" s="203"/>
      <c r="AB67" s="203"/>
      <c r="AC67" s="203"/>
    </row>
    <row r="68" spans="1:29" ht="15">
      <c r="A68" s="203"/>
      <c r="B68" s="223">
        <v>2</v>
      </c>
      <c r="C68" s="440" t="str">
        <f>IF('INPUT DATA'!Q12="","",'INPUT DATA'!Q12)</f>
        <v/>
      </c>
      <c r="D68" s="441"/>
      <c r="E68" s="442"/>
      <c r="F68" s="438" t="str">
        <f>IF('INPUT DATA'!T12="","",'INPUT DATA'!T12)</f>
        <v/>
      </c>
      <c r="G68" s="439"/>
      <c r="H68" s="179" t="str">
        <f>IF('INPUT DATA'!S12="","",'INPUT DATA'!S12)</f>
        <v/>
      </c>
      <c r="I68" s="88" t="str">
        <f ca="1">IF(H68="","",DATEDIF(H68,TODAY(),"Y"))</f>
        <v/>
      </c>
      <c r="J68" s="236" t="s">
        <v>101</v>
      </c>
      <c r="K68" s="94"/>
      <c r="L68" s="95"/>
      <c r="M68" s="95"/>
      <c r="N68" s="95"/>
      <c r="O68" s="95"/>
      <c r="P68" s="95"/>
      <c r="Q68" s="95"/>
      <c r="R68" s="96"/>
      <c r="S68" s="203"/>
      <c r="T68" s="203"/>
      <c r="U68" s="203"/>
      <c r="V68" s="203"/>
      <c r="W68" s="203"/>
      <c r="X68" s="203"/>
      <c r="Y68" s="203"/>
      <c r="Z68" s="203"/>
      <c r="AA68" s="203"/>
      <c r="AB68" s="203"/>
      <c r="AC68" s="203"/>
    </row>
    <row r="69" spans="1:29" ht="15">
      <c r="A69" s="203"/>
      <c r="B69" s="223">
        <v>3</v>
      </c>
      <c r="C69" s="440" t="str">
        <f>IF('INPUT DATA'!Q13="","",'INPUT DATA'!Q13)</f>
        <v/>
      </c>
      <c r="D69" s="441"/>
      <c r="E69" s="442"/>
      <c r="F69" s="438" t="str">
        <f>IF('INPUT DATA'!T13="","",'INPUT DATA'!T13)</f>
        <v/>
      </c>
      <c r="G69" s="439"/>
      <c r="H69" s="179" t="str">
        <f>IF('INPUT DATA'!S13="","",'INPUT DATA'!S13)</f>
        <v/>
      </c>
      <c r="I69" s="88" t="str">
        <f t="shared" ref="I69:I116" ca="1" si="1">IF(H69="","",DATEDIF(H69,TODAY(),"Y"))</f>
        <v/>
      </c>
      <c r="J69" s="236" t="s">
        <v>101</v>
      </c>
      <c r="K69" s="94"/>
      <c r="L69" s="95"/>
      <c r="M69" s="95"/>
      <c r="N69" s="95"/>
      <c r="O69" s="95"/>
      <c r="P69" s="95"/>
      <c r="Q69" s="95"/>
      <c r="R69" s="96"/>
      <c r="S69" s="203"/>
      <c r="T69" s="203"/>
      <c r="U69" s="203"/>
      <c r="V69" s="203"/>
      <c r="W69" s="203"/>
      <c r="X69" s="203"/>
      <c r="Y69" s="203"/>
      <c r="Z69" s="203"/>
      <c r="AA69" s="203"/>
      <c r="AB69" s="203"/>
      <c r="AC69" s="203"/>
    </row>
    <row r="70" spans="1:29" ht="15">
      <c r="A70" s="203"/>
      <c r="B70" s="223">
        <v>4</v>
      </c>
      <c r="C70" s="440" t="str">
        <f>IF('INPUT DATA'!Q14="","",'INPUT DATA'!Q14)</f>
        <v/>
      </c>
      <c r="D70" s="441"/>
      <c r="E70" s="442"/>
      <c r="F70" s="438" t="str">
        <f>IF('INPUT DATA'!T14="","",'INPUT DATA'!T14)</f>
        <v/>
      </c>
      <c r="G70" s="439"/>
      <c r="H70" s="179" t="str">
        <f>IF('INPUT DATA'!S14="","",'INPUT DATA'!S14)</f>
        <v/>
      </c>
      <c r="I70" s="88" t="str">
        <f t="shared" ca="1" si="1"/>
        <v/>
      </c>
      <c r="J70" s="224"/>
      <c r="K70" s="94"/>
      <c r="L70" s="95"/>
      <c r="M70" s="95"/>
      <c r="N70" s="95"/>
      <c r="O70" s="95"/>
      <c r="P70" s="95"/>
      <c r="Q70" s="103"/>
      <c r="R70" s="96"/>
      <c r="S70" s="203"/>
      <c r="T70" s="203"/>
      <c r="U70" s="203"/>
      <c r="V70" s="203"/>
      <c r="W70" s="203"/>
      <c r="X70" s="203"/>
      <c r="Y70" s="203"/>
      <c r="Z70" s="203"/>
      <c r="AA70" s="203"/>
      <c r="AB70" s="203"/>
      <c r="AC70" s="203"/>
    </row>
    <row r="71" spans="1:29" ht="15">
      <c r="A71" s="203"/>
      <c r="B71" s="223">
        <v>5</v>
      </c>
      <c r="C71" s="440" t="str">
        <f>IF('INPUT DATA'!Q15="","",'INPUT DATA'!Q15)</f>
        <v/>
      </c>
      <c r="D71" s="441"/>
      <c r="E71" s="442"/>
      <c r="F71" s="438" t="str">
        <f>IF('INPUT DATA'!T15="","",'INPUT DATA'!T15)</f>
        <v/>
      </c>
      <c r="G71" s="439"/>
      <c r="H71" s="179" t="str">
        <f>IF('INPUT DATA'!S15="","",'INPUT DATA'!S15)</f>
        <v/>
      </c>
      <c r="I71" s="88" t="str">
        <f t="shared" ca="1" si="1"/>
        <v/>
      </c>
      <c r="J71" s="224"/>
      <c r="K71" s="94"/>
      <c r="L71" s="95"/>
      <c r="M71" s="95"/>
      <c r="N71" s="95"/>
      <c r="O71" s="95"/>
      <c r="P71" s="95"/>
      <c r="Q71" s="103"/>
      <c r="R71" s="96"/>
      <c r="S71" s="203"/>
      <c r="T71" s="203"/>
      <c r="U71" s="203"/>
      <c r="V71" s="203"/>
      <c r="W71" s="203"/>
      <c r="X71" s="203"/>
      <c r="Y71" s="203"/>
      <c r="Z71" s="203"/>
      <c r="AA71" s="203"/>
      <c r="AB71" s="203"/>
      <c r="AC71" s="203"/>
    </row>
    <row r="72" spans="1:29" ht="15">
      <c r="A72" s="203"/>
      <c r="B72" s="223">
        <v>6</v>
      </c>
      <c r="C72" s="440" t="str">
        <f>IF('INPUT DATA'!Q16="","",'INPUT DATA'!Q16)</f>
        <v/>
      </c>
      <c r="D72" s="441"/>
      <c r="E72" s="442"/>
      <c r="F72" s="438" t="str">
        <f>IF('INPUT DATA'!T16="","",'INPUT DATA'!T16)</f>
        <v/>
      </c>
      <c r="G72" s="439"/>
      <c r="H72" s="179" t="str">
        <f>IF('INPUT DATA'!S16="","",'INPUT DATA'!S16)</f>
        <v/>
      </c>
      <c r="I72" s="88" t="str">
        <f t="shared" ca="1" si="1"/>
        <v/>
      </c>
      <c r="J72" s="224"/>
      <c r="K72" s="94"/>
      <c r="L72" s="95"/>
      <c r="M72" s="95"/>
      <c r="N72" s="95"/>
      <c r="O72" s="95"/>
      <c r="P72" s="95"/>
      <c r="Q72" s="103"/>
      <c r="R72" s="96"/>
      <c r="S72" s="203"/>
      <c r="T72" s="203"/>
      <c r="U72" s="203"/>
      <c r="V72" s="203"/>
      <c r="W72" s="203"/>
      <c r="X72" s="203"/>
      <c r="Y72" s="203"/>
      <c r="Z72" s="203"/>
      <c r="AA72" s="203"/>
      <c r="AB72" s="203"/>
      <c r="AC72" s="203"/>
    </row>
    <row r="73" spans="1:29" ht="15">
      <c r="A73" s="203"/>
      <c r="B73" s="223">
        <v>7</v>
      </c>
      <c r="C73" s="440" t="str">
        <f>IF('INPUT DATA'!Q17="","",'INPUT DATA'!Q17)</f>
        <v/>
      </c>
      <c r="D73" s="441"/>
      <c r="E73" s="442"/>
      <c r="F73" s="438" t="str">
        <f>IF('INPUT DATA'!T17="","",'INPUT DATA'!T17)</f>
        <v/>
      </c>
      <c r="G73" s="439"/>
      <c r="H73" s="179" t="str">
        <f>IF('INPUT DATA'!S17="","",'INPUT DATA'!S17)</f>
        <v/>
      </c>
      <c r="I73" s="88" t="str">
        <f t="shared" ca="1" si="1"/>
        <v/>
      </c>
      <c r="J73" s="224"/>
      <c r="K73" s="94"/>
      <c r="L73" s="95"/>
      <c r="M73" s="95"/>
      <c r="N73" s="95"/>
      <c r="O73" s="95"/>
      <c r="P73" s="95"/>
      <c r="Q73" s="103"/>
      <c r="R73" s="96"/>
      <c r="S73" s="203"/>
      <c r="T73" s="203"/>
      <c r="U73" s="203"/>
      <c r="V73" s="203"/>
      <c r="W73" s="203"/>
      <c r="X73" s="203"/>
      <c r="Y73" s="203"/>
      <c r="Z73" s="203"/>
      <c r="AA73" s="203"/>
      <c r="AB73" s="203"/>
      <c r="AC73" s="203"/>
    </row>
    <row r="74" spans="1:29" ht="15">
      <c r="A74" s="203"/>
      <c r="B74" s="223">
        <v>8</v>
      </c>
      <c r="C74" s="440" t="str">
        <f>IF('INPUT DATA'!Q18="","",'INPUT DATA'!Q18)</f>
        <v/>
      </c>
      <c r="D74" s="441"/>
      <c r="E74" s="442"/>
      <c r="F74" s="438" t="str">
        <f>IF('INPUT DATA'!T18="","",'INPUT DATA'!T18)</f>
        <v/>
      </c>
      <c r="G74" s="439"/>
      <c r="H74" s="179" t="str">
        <f>IF('INPUT DATA'!S18="","",'INPUT DATA'!S18)</f>
        <v/>
      </c>
      <c r="I74" s="88" t="str">
        <f t="shared" ca="1" si="1"/>
        <v/>
      </c>
      <c r="J74" s="224"/>
      <c r="K74" s="94"/>
      <c r="L74" s="95"/>
      <c r="M74" s="95"/>
      <c r="N74" s="95"/>
      <c r="O74" s="95"/>
      <c r="P74" s="95"/>
      <c r="Q74" s="103"/>
      <c r="R74" s="96"/>
      <c r="S74" s="203"/>
      <c r="T74" s="203"/>
      <c r="U74" s="203"/>
      <c r="V74" s="203"/>
      <c r="W74" s="203"/>
      <c r="X74" s="203"/>
      <c r="Y74" s="203"/>
      <c r="Z74" s="203"/>
      <c r="AA74" s="203"/>
      <c r="AB74" s="203"/>
      <c r="AC74" s="203"/>
    </row>
    <row r="75" spans="1:29" ht="15">
      <c r="A75" s="203"/>
      <c r="B75" s="223">
        <v>9</v>
      </c>
      <c r="C75" s="440" t="str">
        <f>IF('INPUT DATA'!Q19="","",'INPUT DATA'!Q19)</f>
        <v/>
      </c>
      <c r="D75" s="441"/>
      <c r="E75" s="442"/>
      <c r="F75" s="438" t="str">
        <f>IF('INPUT DATA'!T19="","",'INPUT DATA'!T19)</f>
        <v/>
      </c>
      <c r="G75" s="439"/>
      <c r="H75" s="179" t="str">
        <f>IF('INPUT DATA'!S19="","",'INPUT DATA'!S19)</f>
        <v/>
      </c>
      <c r="I75" s="88" t="str">
        <f t="shared" ca="1" si="1"/>
        <v/>
      </c>
      <c r="J75" s="224"/>
      <c r="K75" s="94"/>
      <c r="L75" s="95"/>
      <c r="M75" s="95"/>
      <c r="N75" s="95"/>
      <c r="O75" s="95"/>
      <c r="P75" s="95"/>
      <c r="Q75" s="103"/>
      <c r="R75" s="96"/>
      <c r="S75" s="203"/>
      <c r="T75" s="203"/>
      <c r="U75" s="203"/>
      <c r="V75" s="203"/>
      <c r="W75" s="203"/>
      <c r="X75" s="203"/>
      <c r="Y75" s="203"/>
      <c r="Z75" s="203"/>
      <c r="AA75" s="203"/>
      <c r="AB75" s="203"/>
      <c r="AC75" s="203"/>
    </row>
    <row r="76" spans="1:29" ht="15">
      <c r="A76" s="203"/>
      <c r="B76" s="223">
        <v>10</v>
      </c>
      <c r="C76" s="440" t="str">
        <f>IF('INPUT DATA'!Q20="","",'INPUT DATA'!Q20)</f>
        <v/>
      </c>
      <c r="D76" s="441"/>
      <c r="E76" s="442"/>
      <c r="F76" s="438" t="str">
        <f>IF('INPUT DATA'!T20="","",'INPUT DATA'!T20)</f>
        <v/>
      </c>
      <c r="G76" s="439"/>
      <c r="H76" s="179" t="str">
        <f>IF('INPUT DATA'!S20="","",'INPUT DATA'!S20)</f>
        <v/>
      </c>
      <c r="I76" s="88" t="str">
        <f t="shared" ca="1" si="1"/>
        <v/>
      </c>
      <c r="J76" s="224"/>
      <c r="K76" s="94"/>
      <c r="L76" s="95"/>
      <c r="M76" s="95"/>
      <c r="N76" s="95"/>
      <c r="O76" s="95"/>
      <c r="P76" s="95"/>
      <c r="Q76" s="103"/>
      <c r="R76" s="96"/>
      <c r="S76" s="203"/>
      <c r="T76" s="203"/>
      <c r="U76" s="203"/>
      <c r="V76" s="203"/>
      <c r="W76" s="203"/>
      <c r="X76" s="203"/>
      <c r="Y76" s="203"/>
      <c r="Z76" s="203"/>
      <c r="AA76" s="203"/>
      <c r="AB76" s="203"/>
      <c r="AC76" s="203"/>
    </row>
    <row r="77" spans="1:29" ht="15">
      <c r="A77" s="203"/>
      <c r="B77" s="223">
        <v>11</v>
      </c>
      <c r="C77" s="440" t="str">
        <f>IF('INPUT DATA'!Q21="","",'INPUT DATA'!Q21)</f>
        <v/>
      </c>
      <c r="D77" s="441"/>
      <c r="E77" s="442"/>
      <c r="F77" s="438" t="str">
        <f>IF('INPUT DATA'!T21="","",'INPUT DATA'!T21)</f>
        <v/>
      </c>
      <c r="G77" s="439"/>
      <c r="H77" s="179" t="str">
        <f>IF('INPUT DATA'!S21="","",'INPUT DATA'!S21)</f>
        <v/>
      </c>
      <c r="I77" s="88" t="str">
        <f t="shared" ca="1" si="1"/>
        <v/>
      </c>
      <c r="J77" s="224"/>
      <c r="K77" s="94"/>
      <c r="L77" s="95"/>
      <c r="M77" s="95"/>
      <c r="N77" s="95"/>
      <c r="O77" s="95"/>
      <c r="P77" s="95"/>
      <c r="Q77" s="103"/>
      <c r="R77" s="96"/>
      <c r="S77" s="203"/>
      <c r="T77" s="203"/>
      <c r="U77" s="203"/>
      <c r="V77" s="203"/>
      <c r="W77" s="203"/>
      <c r="X77" s="203"/>
      <c r="Y77" s="203"/>
      <c r="Z77" s="203"/>
      <c r="AA77" s="203"/>
      <c r="AB77" s="203"/>
      <c r="AC77" s="203"/>
    </row>
    <row r="78" spans="1:29" ht="15">
      <c r="A78" s="203"/>
      <c r="B78" s="223">
        <v>12</v>
      </c>
      <c r="C78" s="440" t="str">
        <f>IF('INPUT DATA'!Q22="","",'INPUT DATA'!Q22)</f>
        <v/>
      </c>
      <c r="D78" s="441"/>
      <c r="E78" s="442"/>
      <c r="F78" s="438" t="str">
        <f>IF('INPUT DATA'!T22="","",'INPUT DATA'!T22)</f>
        <v/>
      </c>
      <c r="G78" s="439"/>
      <c r="H78" s="179" t="str">
        <f>IF('INPUT DATA'!S22="","",'INPUT DATA'!S22)</f>
        <v/>
      </c>
      <c r="I78" s="88" t="str">
        <f t="shared" ca="1" si="1"/>
        <v/>
      </c>
      <c r="J78" s="224"/>
      <c r="K78" s="94"/>
      <c r="L78" s="95"/>
      <c r="M78" s="95"/>
      <c r="N78" s="95"/>
      <c r="O78" s="95"/>
      <c r="P78" s="95"/>
      <c r="Q78" s="103"/>
      <c r="R78" s="96"/>
      <c r="S78" s="203"/>
      <c r="T78" s="203"/>
      <c r="U78" s="203"/>
      <c r="V78" s="203"/>
      <c r="W78" s="203"/>
      <c r="X78" s="203"/>
      <c r="Y78" s="203"/>
      <c r="Z78" s="203"/>
      <c r="AA78" s="203"/>
      <c r="AB78" s="203"/>
      <c r="AC78" s="203"/>
    </row>
    <row r="79" spans="1:29" ht="15">
      <c r="A79" s="203"/>
      <c r="B79" s="223">
        <v>13</v>
      </c>
      <c r="C79" s="440" t="str">
        <f>IF('INPUT DATA'!Q23="","",'INPUT DATA'!Q23)</f>
        <v/>
      </c>
      <c r="D79" s="441"/>
      <c r="E79" s="442"/>
      <c r="F79" s="438" t="str">
        <f>IF('INPUT DATA'!T23="","",'INPUT DATA'!T23)</f>
        <v/>
      </c>
      <c r="G79" s="439"/>
      <c r="H79" s="179" t="str">
        <f>IF('INPUT DATA'!S23="","",'INPUT DATA'!S23)</f>
        <v/>
      </c>
      <c r="I79" s="88" t="str">
        <f t="shared" ca="1" si="1"/>
        <v/>
      </c>
      <c r="J79" s="224"/>
      <c r="K79" s="94"/>
      <c r="L79" s="95"/>
      <c r="M79" s="95"/>
      <c r="N79" s="95"/>
      <c r="O79" s="95"/>
      <c r="P79" s="95"/>
      <c r="Q79" s="103"/>
      <c r="R79" s="96"/>
      <c r="S79" s="203"/>
      <c r="T79" s="203"/>
      <c r="U79" s="203"/>
      <c r="V79" s="203"/>
      <c r="W79" s="203"/>
      <c r="X79" s="203"/>
      <c r="Y79" s="203"/>
      <c r="Z79" s="203"/>
      <c r="AA79" s="203"/>
      <c r="AB79" s="203"/>
      <c r="AC79" s="203"/>
    </row>
    <row r="80" spans="1:29" ht="15">
      <c r="A80" s="203"/>
      <c r="B80" s="223">
        <v>14</v>
      </c>
      <c r="C80" s="440" t="str">
        <f>IF('INPUT DATA'!Q24="","",'INPUT DATA'!Q24)</f>
        <v/>
      </c>
      <c r="D80" s="441"/>
      <c r="E80" s="442"/>
      <c r="F80" s="438" t="str">
        <f>IF('INPUT DATA'!T24="","",'INPUT DATA'!T24)</f>
        <v/>
      </c>
      <c r="G80" s="439"/>
      <c r="H80" s="179" t="str">
        <f>IF('INPUT DATA'!S24="","",'INPUT DATA'!S24)</f>
        <v/>
      </c>
      <c r="I80" s="88" t="str">
        <f t="shared" ca="1" si="1"/>
        <v/>
      </c>
      <c r="J80" s="224"/>
      <c r="K80" s="94"/>
      <c r="L80" s="95"/>
      <c r="M80" s="95"/>
      <c r="N80" s="95"/>
      <c r="O80" s="95"/>
      <c r="P80" s="95"/>
      <c r="Q80" s="103"/>
      <c r="R80" s="96"/>
      <c r="S80" s="203"/>
      <c r="T80" s="203"/>
      <c r="U80" s="203"/>
      <c r="V80" s="203"/>
      <c r="W80" s="203"/>
      <c r="X80" s="203"/>
      <c r="Y80" s="203"/>
      <c r="Z80" s="203"/>
      <c r="AA80" s="203"/>
      <c r="AB80" s="203"/>
      <c r="AC80" s="203"/>
    </row>
    <row r="81" spans="1:29" ht="15">
      <c r="A81" s="203"/>
      <c r="B81" s="223">
        <v>15</v>
      </c>
      <c r="C81" s="440" t="str">
        <f>IF('INPUT DATA'!Q25="","",'INPUT DATA'!Q25)</f>
        <v/>
      </c>
      <c r="D81" s="441"/>
      <c r="E81" s="442"/>
      <c r="F81" s="438" t="str">
        <f>IF('INPUT DATA'!T25="","",'INPUT DATA'!T25)</f>
        <v/>
      </c>
      <c r="G81" s="439"/>
      <c r="H81" s="179" t="str">
        <f>IF('INPUT DATA'!S25="","",'INPUT DATA'!S25)</f>
        <v/>
      </c>
      <c r="I81" s="88" t="str">
        <f t="shared" ca="1" si="1"/>
        <v/>
      </c>
      <c r="J81" s="224"/>
      <c r="K81" s="94"/>
      <c r="L81" s="95"/>
      <c r="M81" s="95"/>
      <c r="N81" s="95"/>
      <c r="O81" s="95"/>
      <c r="P81" s="95"/>
      <c r="Q81" s="103"/>
      <c r="R81" s="96"/>
      <c r="S81" s="203"/>
      <c r="T81" s="203"/>
      <c r="U81" s="203"/>
      <c r="V81" s="203"/>
      <c r="W81" s="203"/>
      <c r="X81" s="203"/>
      <c r="Y81" s="203"/>
      <c r="Z81" s="203"/>
      <c r="AA81" s="203"/>
      <c r="AB81" s="203"/>
      <c r="AC81" s="203"/>
    </row>
    <row r="82" spans="1:29" ht="15">
      <c r="A82" s="203"/>
      <c r="B82" s="223">
        <v>16</v>
      </c>
      <c r="C82" s="440" t="str">
        <f>IF('INPUT DATA'!Q26="","",'INPUT DATA'!Q26)</f>
        <v/>
      </c>
      <c r="D82" s="441"/>
      <c r="E82" s="442"/>
      <c r="F82" s="438" t="str">
        <f>IF('INPUT DATA'!T26="","",'INPUT DATA'!T26)</f>
        <v/>
      </c>
      <c r="G82" s="439"/>
      <c r="H82" s="179" t="str">
        <f>IF('INPUT DATA'!S26="","",'INPUT DATA'!S26)</f>
        <v/>
      </c>
      <c r="I82" s="88" t="str">
        <f t="shared" ca="1" si="1"/>
        <v/>
      </c>
      <c r="J82" s="224"/>
      <c r="K82" s="94"/>
      <c r="L82" s="95"/>
      <c r="M82" s="95"/>
      <c r="N82" s="95"/>
      <c r="O82" s="95"/>
      <c r="P82" s="95"/>
      <c r="Q82" s="103"/>
      <c r="R82" s="96"/>
      <c r="S82" s="203"/>
      <c r="T82" s="203"/>
      <c r="U82" s="203"/>
      <c r="V82" s="203"/>
      <c r="W82" s="203"/>
      <c r="X82" s="203"/>
      <c r="Y82" s="203"/>
      <c r="Z82" s="203"/>
      <c r="AA82" s="203"/>
      <c r="AB82" s="203"/>
      <c r="AC82" s="203"/>
    </row>
    <row r="83" spans="1:29" ht="15">
      <c r="A83" s="203"/>
      <c r="B83" s="223">
        <v>17</v>
      </c>
      <c r="C83" s="440" t="str">
        <f>IF('INPUT DATA'!Q27="","",'INPUT DATA'!Q27)</f>
        <v/>
      </c>
      <c r="D83" s="441"/>
      <c r="E83" s="442"/>
      <c r="F83" s="438" t="str">
        <f>IF('INPUT DATA'!T27="","",'INPUT DATA'!T27)</f>
        <v/>
      </c>
      <c r="G83" s="439"/>
      <c r="H83" s="179" t="str">
        <f>IF('INPUT DATA'!S27="","",'INPUT DATA'!S27)</f>
        <v/>
      </c>
      <c r="I83" s="88" t="str">
        <f t="shared" ca="1" si="1"/>
        <v/>
      </c>
      <c r="J83" s="224"/>
      <c r="K83" s="94"/>
      <c r="L83" s="95"/>
      <c r="M83" s="95"/>
      <c r="N83" s="95"/>
      <c r="O83" s="95"/>
      <c r="P83" s="95"/>
      <c r="Q83" s="103"/>
      <c r="R83" s="96"/>
      <c r="S83" s="203"/>
      <c r="T83" s="203"/>
      <c r="U83" s="203"/>
      <c r="V83" s="203"/>
      <c r="W83" s="203"/>
      <c r="X83" s="203"/>
      <c r="Y83" s="203"/>
      <c r="Z83" s="203"/>
      <c r="AA83" s="203"/>
      <c r="AB83" s="203"/>
      <c r="AC83" s="203"/>
    </row>
    <row r="84" spans="1:29" ht="15">
      <c r="A84" s="203"/>
      <c r="B84" s="223">
        <v>18</v>
      </c>
      <c r="C84" s="440" t="str">
        <f>IF('INPUT DATA'!Q28="","",'INPUT DATA'!Q28)</f>
        <v/>
      </c>
      <c r="D84" s="441"/>
      <c r="E84" s="442"/>
      <c r="F84" s="438" t="str">
        <f>IF('INPUT DATA'!T28="","",'INPUT DATA'!T28)</f>
        <v/>
      </c>
      <c r="G84" s="439"/>
      <c r="H84" s="179" t="str">
        <f>IF('INPUT DATA'!S28="","",'INPUT DATA'!S28)</f>
        <v/>
      </c>
      <c r="I84" s="88" t="str">
        <f t="shared" ca="1" si="1"/>
        <v/>
      </c>
      <c r="J84" s="224"/>
      <c r="K84" s="94"/>
      <c r="L84" s="95"/>
      <c r="M84" s="95"/>
      <c r="N84" s="95"/>
      <c r="O84" s="95"/>
      <c r="P84" s="95"/>
      <c r="Q84" s="103"/>
      <c r="R84" s="96"/>
      <c r="S84" s="203"/>
      <c r="T84" s="203"/>
      <c r="U84" s="203"/>
      <c r="V84" s="203"/>
      <c r="W84" s="203"/>
      <c r="X84" s="203"/>
      <c r="Y84" s="203"/>
      <c r="Z84" s="203"/>
      <c r="AA84" s="203"/>
      <c r="AB84" s="203"/>
      <c r="AC84" s="203"/>
    </row>
    <row r="85" spans="1:29" ht="15">
      <c r="A85" s="203"/>
      <c r="B85" s="223">
        <v>19</v>
      </c>
      <c r="C85" s="440" t="str">
        <f>IF('INPUT DATA'!Q29="","",'INPUT DATA'!Q29)</f>
        <v/>
      </c>
      <c r="D85" s="441"/>
      <c r="E85" s="442"/>
      <c r="F85" s="438" t="str">
        <f>IF('INPUT DATA'!T29="","",'INPUT DATA'!T29)</f>
        <v/>
      </c>
      <c r="G85" s="439"/>
      <c r="H85" s="179" t="str">
        <f>IF('INPUT DATA'!S29="","",'INPUT DATA'!S29)</f>
        <v/>
      </c>
      <c r="I85" s="88" t="str">
        <f t="shared" ca="1" si="1"/>
        <v/>
      </c>
      <c r="J85" s="224"/>
      <c r="K85" s="94"/>
      <c r="L85" s="95"/>
      <c r="M85" s="95"/>
      <c r="N85" s="95"/>
      <c r="O85" s="95"/>
      <c r="P85" s="95"/>
      <c r="Q85" s="103"/>
      <c r="R85" s="96"/>
      <c r="S85" s="203"/>
      <c r="T85" s="203"/>
      <c r="U85" s="203"/>
      <c r="V85" s="203"/>
      <c r="W85" s="203"/>
      <c r="X85" s="203"/>
      <c r="Y85" s="203"/>
      <c r="Z85" s="203"/>
      <c r="AA85" s="203"/>
      <c r="AB85" s="203"/>
      <c r="AC85" s="203"/>
    </row>
    <row r="86" spans="1:29" ht="15">
      <c r="A86" s="203"/>
      <c r="B86" s="226">
        <v>20</v>
      </c>
      <c r="C86" s="440" t="str">
        <f>IF('INPUT DATA'!Q30="","",'INPUT DATA'!Q30)</f>
        <v/>
      </c>
      <c r="D86" s="441"/>
      <c r="E86" s="442"/>
      <c r="F86" s="438" t="str">
        <f>IF('INPUT DATA'!T30="","",'INPUT DATA'!T30)</f>
        <v/>
      </c>
      <c r="G86" s="439"/>
      <c r="H86" s="179" t="str">
        <f>IF('INPUT DATA'!S30="","",'INPUT DATA'!S30)</f>
        <v/>
      </c>
      <c r="I86" s="88" t="str">
        <f t="shared" ca="1" si="1"/>
        <v/>
      </c>
      <c r="J86" s="224"/>
      <c r="K86" s="97"/>
      <c r="L86" s="98"/>
      <c r="M86" s="98"/>
      <c r="N86" s="98"/>
      <c r="O86" s="98"/>
      <c r="P86" s="98"/>
      <c r="Q86" s="104"/>
      <c r="R86" s="99"/>
      <c r="S86" s="203"/>
      <c r="T86" s="203"/>
      <c r="U86" s="203"/>
      <c r="V86" s="203"/>
      <c r="W86" s="203"/>
      <c r="X86" s="203"/>
      <c r="Y86" s="203"/>
      <c r="Z86" s="203"/>
      <c r="AA86" s="203"/>
      <c r="AB86" s="203"/>
      <c r="AC86" s="203"/>
    </row>
    <row r="87" spans="1:29" ht="15">
      <c r="A87" s="203"/>
      <c r="B87" s="226">
        <v>21</v>
      </c>
      <c r="C87" s="440" t="str">
        <f>IF('INPUT DATA'!Q31="","",'INPUT DATA'!Q31)</f>
        <v/>
      </c>
      <c r="D87" s="441"/>
      <c r="E87" s="442"/>
      <c r="F87" s="438" t="str">
        <f>IF('INPUT DATA'!T31="","",'INPUT DATA'!T31)</f>
        <v/>
      </c>
      <c r="G87" s="439"/>
      <c r="H87" s="179" t="str">
        <f>IF('INPUT DATA'!S31="","",'INPUT DATA'!S31)</f>
        <v/>
      </c>
      <c r="I87" s="88" t="str">
        <f t="shared" ca="1" si="1"/>
        <v/>
      </c>
      <c r="J87" s="224"/>
      <c r="K87" s="94"/>
      <c r="L87" s="95"/>
      <c r="M87" s="95"/>
      <c r="N87" s="95"/>
      <c r="O87" s="95"/>
      <c r="P87" s="95"/>
      <c r="Q87" s="103"/>
      <c r="R87" s="96"/>
      <c r="S87" s="203"/>
      <c r="T87" s="203"/>
      <c r="U87" s="203"/>
      <c r="V87" s="203"/>
      <c r="W87" s="203"/>
      <c r="X87" s="203"/>
      <c r="Y87" s="203"/>
      <c r="Z87" s="203"/>
      <c r="AA87" s="203"/>
      <c r="AB87" s="203"/>
      <c r="AC87" s="203"/>
    </row>
    <row r="88" spans="1:29" ht="15">
      <c r="A88" s="203"/>
      <c r="B88" s="226">
        <v>22</v>
      </c>
      <c r="C88" s="440" t="str">
        <f>IF('INPUT DATA'!Q32="","",'INPUT DATA'!Q32)</f>
        <v/>
      </c>
      <c r="D88" s="441"/>
      <c r="E88" s="442"/>
      <c r="F88" s="438" t="str">
        <f>IF('INPUT DATA'!T32="","",'INPUT DATA'!T32)</f>
        <v/>
      </c>
      <c r="G88" s="439"/>
      <c r="H88" s="179" t="str">
        <f>IF('INPUT DATA'!S32="","",'INPUT DATA'!S32)</f>
        <v/>
      </c>
      <c r="I88" s="88" t="str">
        <f t="shared" ca="1" si="1"/>
        <v/>
      </c>
      <c r="J88" s="224"/>
      <c r="K88" s="94"/>
      <c r="L88" s="95"/>
      <c r="M88" s="95"/>
      <c r="N88" s="95"/>
      <c r="O88" s="95"/>
      <c r="P88" s="95"/>
      <c r="Q88" s="103"/>
      <c r="R88" s="96"/>
      <c r="S88" s="203"/>
      <c r="T88" s="203"/>
      <c r="U88" s="203"/>
      <c r="V88" s="203"/>
      <c r="W88" s="203"/>
      <c r="X88" s="203"/>
      <c r="Y88" s="203"/>
      <c r="Z88" s="203"/>
      <c r="AA88" s="203"/>
      <c r="AB88" s="203"/>
      <c r="AC88" s="203"/>
    </row>
    <row r="89" spans="1:29" ht="15">
      <c r="A89" s="203"/>
      <c r="B89" s="226">
        <v>23</v>
      </c>
      <c r="C89" s="440" t="str">
        <f>IF('INPUT DATA'!Q33="","",'INPUT DATA'!Q33)</f>
        <v/>
      </c>
      <c r="D89" s="441"/>
      <c r="E89" s="442"/>
      <c r="F89" s="438" t="str">
        <f>IF('INPUT DATA'!T33="","",'INPUT DATA'!T33)</f>
        <v/>
      </c>
      <c r="G89" s="439"/>
      <c r="H89" s="179" t="str">
        <f>IF('INPUT DATA'!S33="","",'INPUT DATA'!S33)</f>
        <v/>
      </c>
      <c r="I89" s="88" t="str">
        <f t="shared" ca="1" si="1"/>
        <v/>
      </c>
      <c r="J89" s="224"/>
      <c r="K89" s="94"/>
      <c r="L89" s="95"/>
      <c r="M89" s="95"/>
      <c r="N89" s="95"/>
      <c r="O89" s="95"/>
      <c r="P89" s="95"/>
      <c r="Q89" s="103"/>
      <c r="R89" s="96"/>
      <c r="S89" s="203"/>
      <c r="T89" s="203"/>
      <c r="U89" s="203"/>
      <c r="V89" s="203"/>
      <c r="W89" s="203"/>
      <c r="X89" s="203"/>
      <c r="Y89" s="203"/>
      <c r="Z89" s="203"/>
      <c r="AA89" s="203"/>
      <c r="AB89" s="203"/>
      <c r="AC89" s="203"/>
    </row>
    <row r="90" spans="1:29" ht="15">
      <c r="A90" s="203"/>
      <c r="B90" s="226">
        <v>24</v>
      </c>
      <c r="C90" s="440" t="str">
        <f>IF('INPUT DATA'!Q34="","",'INPUT DATA'!Q34)</f>
        <v/>
      </c>
      <c r="D90" s="441"/>
      <c r="E90" s="442"/>
      <c r="F90" s="438" t="str">
        <f>IF('INPUT DATA'!T34="","",'INPUT DATA'!T34)</f>
        <v/>
      </c>
      <c r="G90" s="439"/>
      <c r="H90" s="179" t="str">
        <f>IF('INPUT DATA'!S34="","",'INPUT DATA'!S34)</f>
        <v/>
      </c>
      <c r="I90" s="88" t="str">
        <f t="shared" ca="1" si="1"/>
        <v/>
      </c>
      <c r="J90" s="224"/>
      <c r="K90" s="94"/>
      <c r="L90" s="95"/>
      <c r="M90" s="95"/>
      <c r="N90" s="95"/>
      <c r="O90" s="95"/>
      <c r="P90" s="95"/>
      <c r="Q90" s="103"/>
      <c r="R90" s="96"/>
      <c r="S90" s="203"/>
      <c r="T90" s="203"/>
      <c r="U90" s="203"/>
      <c r="V90" s="203"/>
      <c r="W90" s="203"/>
      <c r="X90" s="203"/>
      <c r="Y90" s="203"/>
      <c r="Z90" s="203"/>
      <c r="AA90" s="203"/>
      <c r="AB90" s="203"/>
      <c r="AC90" s="203"/>
    </row>
    <row r="91" spans="1:29" ht="15">
      <c r="A91" s="203"/>
      <c r="B91" s="226">
        <v>25</v>
      </c>
      <c r="C91" s="440" t="str">
        <f>IF('INPUT DATA'!Q35="","",'INPUT DATA'!Q35)</f>
        <v/>
      </c>
      <c r="D91" s="441"/>
      <c r="E91" s="442"/>
      <c r="F91" s="438" t="str">
        <f>IF('INPUT DATA'!T35="","",'INPUT DATA'!T35)</f>
        <v/>
      </c>
      <c r="G91" s="439"/>
      <c r="H91" s="179" t="str">
        <f>IF('INPUT DATA'!S35="","",'INPUT DATA'!S35)</f>
        <v/>
      </c>
      <c r="I91" s="88" t="str">
        <f t="shared" ca="1" si="1"/>
        <v/>
      </c>
      <c r="J91" s="224"/>
      <c r="K91" s="94"/>
      <c r="L91" s="95"/>
      <c r="M91" s="95"/>
      <c r="N91" s="95"/>
      <c r="O91" s="95"/>
      <c r="P91" s="95"/>
      <c r="Q91" s="103"/>
      <c r="R91" s="96"/>
      <c r="S91" s="203"/>
      <c r="T91" s="203"/>
      <c r="U91" s="203"/>
      <c r="V91" s="203"/>
      <c r="W91" s="203"/>
      <c r="X91" s="203"/>
      <c r="Y91" s="203"/>
      <c r="Z91" s="203"/>
      <c r="AA91" s="203"/>
      <c r="AB91" s="203"/>
      <c r="AC91" s="203"/>
    </row>
    <row r="92" spans="1:29" ht="15">
      <c r="A92" s="203"/>
      <c r="B92" s="226">
        <v>26</v>
      </c>
      <c r="C92" s="440" t="str">
        <f>IF('INPUT DATA'!Q36="","",'INPUT DATA'!Q36)</f>
        <v/>
      </c>
      <c r="D92" s="441"/>
      <c r="E92" s="442"/>
      <c r="F92" s="438" t="str">
        <f>IF('INPUT DATA'!T36="","",'INPUT DATA'!T36)</f>
        <v/>
      </c>
      <c r="G92" s="439"/>
      <c r="H92" s="179" t="str">
        <f>IF('INPUT DATA'!S36="","",'INPUT DATA'!S36)</f>
        <v/>
      </c>
      <c r="I92" s="88" t="str">
        <f t="shared" ca="1" si="1"/>
        <v/>
      </c>
      <c r="J92" s="224"/>
      <c r="K92" s="94"/>
      <c r="L92" s="95"/>
      <c r="M92" s="95"/>
      <c r="N92" s="95"/>
      <c r="O92" s="95"/>
      <c r="P92" s="95"/>
      <c r="Q92" s="103"/>
      <c r="R92" s="96"/>
      <c r="S92" s="203"/>
      <c r="T92" s="203"/>
      <c r="U92" s="203"/>
      <c r="V92" s="203"/>
      <c r="W92" s="203"/>
      <c r="X92" s="203"/>
      <c r="Y92" s="203"/>
      <c r="Z92" s="203"/>
      <c r="AA92" s="203"/>
      <c r="AB92" s="203"/>
      <c r="AC92" s="203"/>
    </row>
    <row r="93" spans="1:29" ht="15">
      <c r="A93" s="203"/>
      <c r="B93" s="226">
        <v>27</v>
      </c>
      <c r="C93" s="440" t="str">
        <f>IF('INPUT DATA'!Q37="","",'INPUT DATA'!Q37)</f>
        <v/>
      </c>
      <c r="D93" s="441"/>
      <c r="E93" s="442"/>
      <c r="F93" s="438" t="str">
        <f>IF('INPUT DATA'!T37="","",'INPUT DATA'!T37)</f>
        <v/>
      </c>
      <c r="G93" s="439"/>
      <c r="H93" s="179" t="str">
        <f>IF('INPUT DATA'!S37="","",'INPUT DATA'!S37)</f>
        <v/>
      </c>
      <c r="I93" s="88" t="str">
        <f t="shared" ca="1" si="1"/>
        <v/>
      </c>
      <c r="J93" s="224"/>
      <c r="K93" s="94"/>
      <c r="L93" s="95"/>
      <c r="M93" s="95"/>
      <c r="N93" s="95"/>
      <c r="O93" s="95"/>
      <c r="P93" s="95"/>
      <c r="Q93" s="103"/>
      <c r="R93" s="96"/>
      <c r="S93" s="203"/>
      <c r="T93" s="203"/>
      <c r="U93" s="203"/>
      <c r="V93" s="203"/>
      <c r="W93" s="203"/>
      <c r="X93" s="203"/>
      <c r="Y93" s="203"/>
      <c r="Z93" s="203"/>
      <c r="AA93" s="203"/>
      <c r="AB93" s="203"/>
      <c r="AC93" s="203"/>
    </row>
    <row r="94" spans="1:29" ht="15">
      <c r="A94" s="203"/>
      <c r="B94" s="226">
        <v>28</v>
      </c>
      <c r="C94" s="440" t="str">
        <f>IF('INPUT DATA'!Q38="","",'INPUT DATA'!Q38)</f>
        <v/>
      </c>
      <c r="D94" s="441"/>
      <c r="E94" s="442"/>
      <c r="F94" s="438" t="str">
        <f>IF('INPUT DATA'!T38="","",'INPUT DATA'!T38)</f>
        <v/>
      </c>
      <c r="G94" s="439"/>
      <c r="H94" s="179" t="str">
        <f>IF('INPUT DATA'!S38="","",'INPUT DATA'!S38)</f>
        <v/>
      </c>
      <c r="I94" s="88" t="str">
        <f t="shared" ca="1" si="1"/>
        <v/>
      </c>
      <c r="J94" s="224"/>
      <c r="K94" s="94"/>
      <c r="L94" s="95"/>
      <c r="M94" s="95"/>
      <c r="N94" s="95"/>
      <c r="O94" s="95"/>
      <c r="P94" s="95"/>
      <c r="Q94" s="103"/>
      <c r="R94" s="96"/>
      <c r="S94" s="203"/>
      <c r="T94" s="203"/>
      <c r="U94" s="203"/>
      <c r="V94" s="203"/>
      <c r="W94" s="203"/>
      <c r="X94" s="203"/>
      <c r="Y94" s="203"/>
      <c r="Z94" s="203"/>
      <c r="AA94" s="203"/>
      <c r="AB94" s="203"/>
      <c r="AC94" s="203"/>
    </row>
    <row r="95" spans="1:29" ht="15">
      <c r="A95" s="203"/>
      <c r="B95" s="226">
        <v>29</v>
      </c>
      <c r="C95" s="440" t="str">
        <f>IF('INPUT DATA'!Q39="","",'INPUT DATA'!Q39)</f>
        <v/>
      </c>
      <c r="D95" s="441"/>
      <c r="E95" s="442"/>
      <c r="F95" s="438" t="str">
        <f>IF('INPUT DATA'!T39="","",'INPUT DATA'!T39)</f>
        <v/>
      </c>
      <c r="G95" s="439"/>
      <c r="H95" s="179" t="str">
        <f>IF('INPUT DATA'!S39="","",'INPUT DATA'!S39)</f>
        <v/>
      </c>
      <c r="I95" s="88" t="str">
        <f t="shared" ca="1" si="1"/>
        <v/>
      </c>
      <c r="J95" s="224"/>
      <c r="K95" s="94"/>
      <c r="L95" s="95"/>
      <c r="M95" s="95"/>
      <c r="N95" s="95"/>
      <c r="O95" s="95"/>
      <c r="P95" s="95"/>
      <c r="Q95" s="103"/>
      <c r="R95" s="96"/>
      <c r="S95" s="203"/>
      <c r="T95" s="203"/>
      <c r="U95" s="203"/>
      <c r="V95" s="203"/>
      <c r="W95" s="203"/>
      <c r="X95" s="203"/>
      <c r="Y95" s="203"/>
      <c r="Z95" s="203"/>
      <c r="AA95" s="203"/>
      <c r="AB95" s="203"/>
      <c r="AC95" s="203"/>
    </row>
    <row r="96" spans="1:29" ht="15">
      <c r="A96" s="203"/>
      <c r="B96" s="226">
        <v>30</v>
      </c>
      <c r="C96" s="440" t="str">
        <f>IF('INPUT DATA'!Q40="","",'INPUT DATA'!Q40)</f>
        <v/>
      </c>
      <c r="D96" s="441"/>
      <c r="E96" s="442"/>
      <c r="F96" s="438" t="str">
        <f>IF('INPUT DATA'!T40="","",'INPUT DATA'!T40)</f>
        <v/>
      </c>
      <c r="G96" s="439"/>
      <c r="H96" s="179" t="str">
        <f>IF('INPUT DATA'!S40="","",'INPUT DATA'!S40)</f>
        <v/>
      </c>
      <c r="I96" s="88" t="str">
        <f t="shared" ca="1" si="1"/>
        <v/>
      </c>
      <c r="J96" s="224"/>
      <c r="K96" s="94"/>
      <c r="L96" s="95"/>
      <c r="M96" s="95"/>
      <c r="N96" s="95"/>
      <c r="O96" s="95"/>
      <c r="P96" s="95"/>
      <c r="Q96" s="103"/>
      <c r="R96" s="96"/>
      <c r="S96" s="203"/>
      <c r="T96" s="203"/>
      <c r="U96" s="203"/>
      <c r="V96" s="203"/>
      <c r="W96" s="203"/>
      <c r="X96" s="203"/>
      <c r="Y96" s="203"/>
      <c r="Z96" s="203"/>
      <c r="AA96" s="203"/>
      <c r="AB96" s="203"/>
      <c r="AC96" s="203"/>
    </row>
    <row r="97" spans="1:29" ht="15">
      <c r="A97" s="203"/>
      <c r="B97" s="226">
        <v>31</v>
      </c>
      <c r="C97" s="440" t="str">
        <f>IF('INPUT DATA'!Q41="","",'INPUT DATA'!Q41)</f>
        <v/>
      </c>
      <c r="D97" s="441"/>
      <c r="E97" s="442"/>
      <c r="F97" s="438" t="str">
        <f>IF('INPUT DATA'!T41="","",'INPUT DATA'!T41)</f>
        <v/>
      </c>
      <c r="G97" s="439"/>
      <c r="H97" s="179" t="str">
        <f>IF('INPUT DATA'!S41="","",'INPUT DATA'!S41)</f>
        <v/>
      </c>
      <c r="I97" s="88" t="str">
        <f t="shared" ca="1" si="1"/>
        <v/>
      </c>
      <c r="J97" s="224"/>
      <c r="K97" s="94"/>
      <c r="L97" s="95"/>
      <c r="M97" s="95"/>
      <c r="N97" s="95"/>
      <c r="O97" s="95"/>
      <c r="P97" s="95"/>
      <c r="Q97" s="103"/>
      <c r="R97" s="96"/>
      <c r="S97" s="203"/>
      <c r="T97" s="203"/>
      <c r="U97" s="203"/>
      <c r="V97" s="203"/>
      <c r="W97" s="203"/>
      <c r="X97" s="203"/>
      <c r="Y97" s="203"/>
      <c r="Z97" s="203"/>
      <c r="AA97" s="203"/>
      <c r="AB97" s="203"/>
      <c r="AC97" s="203"/>
    </row>
    <row r="98" spans="1:29" ht="15">
      <c r="A98" s="203"/>
      <c r="B98" s="226">
        <v>32</v>
      </c>
      <c r="C98" s="440" t="str">
        <f>IF('INPUT DATA'!Q42="","",'INPUT DATA'!Q42)</f>
        <v/>
      </c>
      <c r="D98" s="441"/>
      <c r="E98" s="442"/>
      <c r="F98" s="438" t="str">
        <f>IF('INPUT DATA'!T42="","",'INPUT DATA'!T42)</f>
        <v/>
      </c>
      <c r="G98" s="439"/>
      <c r="H98" s="179" t="str">
        <f>IF('INPUT DATA'!S42="","",'INPUT DATA'!S42)</f>
        <v/>
      </c>
      <c r="I98" s="88" t="str">
        <f t="shared" ca="1" si="1"/>
        <v/>
      </c>
      <c r="J98" s="224"/>
      <c r="K98" s="94"/>
      <c r="L98" s="95"/>
      <c r="M98" s="95"/>
      <c r="N98" s="95"/>
      <c r="O98" s="95"/>
      <c r="P98" s="95"/>
      <c r="Q98" s="103"/>
      <c r="R98" s="96"/>
      <c r="S98" s="203"/>
      <c r="T98" s="203"/>
      <c r="U98" s="203"/>
      <c r="V98" s="203"/>
      <c r="W98" s="203"/>
      <c r="X98" s="203"/>
      <c r="Y98" s="203"/>
      <c r="Z98" s="203"/>
      <c r="AA98" s="203"/>
      <c r="AB98" s="203"/>
      <c r="AC98" s="203"/>
    </row>
    <row r="99" spans="1:29" ht="15">
      <c r="A99" s="203"/>
      <c r="B99" s="226">
        <v>33</v>
      </c>
      <c r="C99" s="440" t="str">
        <f>IF('INPUT DATA'!Q43="","",'INPUT DATA'!Q43)</f>
        <v/>
      </c>
      <c r="D99" s="441"/>
      <c r="E99" s="442"/>
      <c r="F99" s="438" t="str">
        <f>IF('INPUT DATA'!T43="","",'INPUT DATA'!T43)</f>
        <v/>
      </c>
      <c r="G99" s="439"/>
      <c r="H99" s="179" t="str">
        <f>IF('INPUT DATA'!S43="","",'INPUT DATA'!S43)</f>
        <v/>
      </c>
      <c r="I99" s="88" t="str">
        <f t="shared" ca="1" si="1"/>
        <v/>
      </c>
      <c r="J99" s="224"/>
      <c r="K99" s="94"/>
      <c r="L99" s="95"/>
      <c r="M99" s="95"/>
      <c r="N99" s="95"/>
      <c r="O99" s="95"/>
      <c r="P99" s="95"/>
      <c r="Q99" s="103"/>
      <c r="R99" s="96"/>
      <c r="S99" s="203"/>
      <c r="T99" s="203"/>
      <c r="U99" s="203"/>
      <c r="V99" s="203"/>
      <c r="W99" s="203"/>
      <c r="X99" s="203"/>
      <c r="Y99" s="203"/>
      <c r="Z99" s="203"/>
      <c r="AA99" s="203"/>
      <c r="AB99" s="203"/>
      <c r="AC99" s="203"/>
    </row>
    <row r="100" spans="1:29" ht="15">
      <c r="A100" s="203"/>
      <c r="B100" s="226">
        <v>34</v>
      </c>
      <c r="C100" s="440" t="str">
        <f>IF('INPUT DATA'!Q44="","",'INPUT DATA'!Q44)</f>
        <v/>
      </c>
      <c r="D100" s="441"/>
      <c r="E100" s="442"/>
      <c r="F100" s="438" t="str">
        <f>IF('INPUT DATA'!T44="","",'INPUT DATA'!T44)</f>
        <v/>
      </c>
      <c r="G100" s="439"/>
      <c r="H100" s="179" t="str">
        <f>IF('INPUT DATA'!S44="","",'INPUT DATA'!S44)</f>
        <v/>
      </c>
      <c r="I100" s="88" t="str">
        <f t="shared" ca="1" si="1"/>
        <v/>
      </c>
      <c r="J100" s="224"/>
      <c r="K100" s="94"/>
      <c r="L100" s="95"/>
      <c r="M100" s="95"/>
      <c r="N100" s="95"/>
      <c r="O100" s="95"/>
      <c r="P100" s="95"/>
      <c r="Q100" s="103"/>
      <c r="R100" s="96"/>
      <c r="S100" s="203"/>
      <c r="T100" s="203"/>
      <c r="U100" s="203"/>
      <c r="V100" s="203"/>
      <c r="W100" s="203"/>
      <c r="X100" s="203"/>
      <c r="Y100" s="203"/>
      <c r="Z100" s="203"/>
      <c r="AA100" s="203"/>
      <c r="AB100" s="203"/>
      <c r="AC100" s="203"/>
    </row>
    <row r="101" spans="1:29" ht="15">
      <c r="A101" s="203"/>
      <c r="B101" s="226">
        <v>35</v>
      </c>
      <c r="C101" s="440" t="str">
        <f>IF('INPUT DATA'!Q45="","",'INPUT DATA'!Q45)</f>
        <v/>
      </c>
      <c r="D101" s="441"/>
      <c r="E101" s="442"/>
      <c r="F101" s="438" t="str">
        <f>IF('INPUT DATA'!T45="","",'INPUT DATA'!T45)</f>
        <v/>
      </c>
      <c r="G101" s="439"/>
      <c r="H101" s="179" t="str">
        <f>IF('INPUT DATA'!S45="","",'INPUT DATA'!S45)</f>
        <v/>
      </c>
      <c r="I101" s="88" t="str">
        <f t="shared" ca="1" si="1"/>
        <v/>
      </c>
      <c r="J101" s="224"/>
      <c r="K101" s="94"/>
      <c r="L101" s="95"/>
      <c r="M101" s="95"/>
      <c r="N101" s="95"/>
      <c r="O101" s="95"/>
      <c r="P101" s="95"/>
      <c r="Q101" s="103"/>
      <c r="R101" s="96"/>
      <c r="S101" s="203"/>
      <c r="T101" s="203"/>
      <c r="U101" s="203"/>
      <c r="V101" s="203"/>
      <c r="W101" s="203"/>
      <c r="X101" s="203"/>
      <c r="Y101" s="203"/>
      <c r="Z101" s="203"/>
      <c r="AA101" s="203"/>
      <c r="AB101" s="203"/>
      <c r="AC101" s="203"/>
    </row>
    <row r="102" spans="1:29" ht="15">
      <c r="A102" s="203"/>
      <c r="B102" s="226">
        <v>36</v>
      </c>
      <c r="C102" s="440" t="str">
        <f>IF('INPUT DATA'!Q46="","",'INPUT DATA'!Q46)</f>
        <v/>
      </c>
      <c r="D102" s="441"/>
      <c r="E102" s="442"/>
      <c r="F102" s="438" t="str">
        <f>IF('INPUT DATA'!T46="","",'INPUT DATA'!T46)</f>
        <v/>
      </c>
      <c r="G102" s="439"/>
      <c r="H102" s="179" t="str">
        <f>IF('INPUT DATA'!S46="","",'INPUT DATA'!S46)</f>
        <v/>
      </c>
      <c r="I102" s="88" t="str">
        <f t="shared" ca="1" si="1"/>
        <v/>
      </c>
      <c r="J102" s="224"/>
      <c r="K102" s="94"/>
      <c r="L102" s="95"/>
      <c r="M102" s="95"/>
      <c r="N102" s="95"/>
      <c r="O102" s="95"/>
      <c r="P102" s="95"/>
      <c r="Q102" s="103"/>
      <c r="R102" s="96"/>
      <c r="S102" s="203"/>
      <c r="T102" s="203"/>
      <c r="U102" s="203"/>
      <c r="V102" s="203"/>
      <c r="W102" s="203"/>
      <c r="X102" s="203"/>
      <c r="Y102" s="203"/>
      <c r="Z102" s="203"/>
      <c r="AA102" s="203"/>
      <c r="AB102" s="203"/>
      <c r="AC102" s="203"/>
    </row>
    <row r="103" spans="1:29" ht="15">
      <c r="A103" s="203"/>
      <c r="B103" s="226">
        <v>37</v>
      </c>
      <c r="C103" s="440" t="str">
        <f>IF('INPUT DATA'!Q47="","",'INPUT DATA'!Q47)</f>
        <v/>
      </c>
      <c r="D103" s="441"/>
      <c r="E103" s="442"/>
      <c r="F103" s="438" t="str">
        <f>IF('INPUT DATA'!T47="","",'INPUT DATA'!T47)</f>
        <v/>
      </c>
      <c r="G103" s="439"/>
      <c r="H103" s="179" t="str">
        <f>IF('INPUT DATA'!S47="","",'INPUT DATA'!S47)</f>
        <v/>
      </c>
      <c r="I103" s="88" t="str">
        <f t="shared" ca="1" si="1"/>
        <v/>
      </c>
      <c r="J103" s="224"/>
      <c r="K103" s="94"/>
      <c r="L103" s="95"/>
      <c r="M103" s="95"/>
      <c r="N103" s="95"/>
      <c r="O103" s="95"/>
      <c r="P103" s="95"/>
      <c r="Q103" s="103"/>
      <c r="R103" s="96"/>
      <c r="S103" s="203"/>
      <c r="T103" s="203"/>
      <c r="U103" s="203"/>
      <c r="V103" s="203"/>
      <c r="W103" s="203"/>
      <c r="X103" s="203"/>
      <c r="Y103" s="203"/>
      <c r="Z103" s="203"/>
      <c r="AA103" s="203"/>
      <c r="AB103" s="203"/>
      <c r="AC103" s="203"/>
    </row>
    <row r="104" spans="1:29" ht="15">
      <c r="A104" s="203"/>
      <c r="B104" s="226">
        <v>38</v>
      </c>
      <c r="C104" s="440" t="str">
        <f>IF('INPUT DATA'!Q48="","",'INPUT DATA'!Q48)</f>
        <v/>
      </c>
      <c r="D104" s="441"/>
      <c r="E104" s="442"/>
      <c r="F104" s="438" t="str">
        <f>IF('INPUT DATA'!T48="","",'INPUT DATA'!T48)</f>
        <v/>
      </c>
      <c r="G104" s="439"/>
      <c r="H104" s="179" t="str">
        <f>IF('INPUT DATA'!S48="","",'INPUT DATA'!S48)</f>
        <v/>
      </c>
      <c r="I104" s="88" t="str">
        <f t="shared" ca="1" si="1"/>
        <v/>
      </c>
      <c r="J104" s="224"/>
      <c r="K104" s="94"/>
      <c r="L104" s="95"/>
      <c r="M104" s="95"/>
      <c r="N104" s="95"/>
      <c r="O104" s="95"/>
      <c r="P104" s="95"/>
      <c r="Q104" s="103"/>
      <c r="R104" s="96"/>
      <c r="S104" s="203"/>
      <c r="T104" s="203"/>
      <c r="U104" s="203"/>
      <c r="V104" s="203"/>
      <c r="W104" s="203"/>
      <c r="X104" s="203"/>
      <c r="Y104" s="203"/>
      <c r="Z104" s="203"/>
      <c r="AA104" s="203"/>
      <c r="AB104" s="203"/>
      <c r="AC104" s="203"/>
    </row>
    <row r="105" spans="1:29" ht="15">
      <c r="A105" s="203"/>
      <c r="B105" s="226">
        <v>39</v>
      </c>
      <c r="C105" s="440" t="str">
        <f>IF('INPUT DATA'!Q49="","",'INPUT DATA'!Q49)</f>
        <v/>
      </c>
      <c r="D105" s="441"/>
      <c r="E105" s="442"/>
      <c r="F105" s="438" t="str">
        <f>IF('INPUT DATA'!T49="","",'INPUT DATA'!T49)</f>
        <v/>
      </c>
      <c r="G105" s="439"/>
      <c r="H105" s="179" t="str">
        <f>IF('INPUT DATA'!S49="","",'INPUT DATA'!S49)</f>
        <v/>
      </c>
      <c r="I105" s="88" t="str">
        <f t="shared" ca="1" si="1"/>
        <v/>
      </c>
      <c r="J105" s="224"/>
      <c r="K105" s="94"/>
      <c r="L105" s="95"/>
      <c r="M105" s="95"/>
      <c r="N105" s="95"/>
      <c r="O105" s="95"/>
      <c r="P105" s="95"/>
      <c r="Q105" s="103"/>
      <c r="R105" s="96"/>
      <c r="S105" s="203"/>
      <c r="T105" s="203"/>
      <c r="U105" s="203"/>
      <c r="V105" s="203"/>
      <c r="W105" s="203"/>
      <c r="X105" s="203"/>
      <c r="Y105" s="203"/>
      <c r="Z105" s="203"/>
      <c r="AA105" s="203"/>
      <c r="AB105" s="203"/>
      <c r="AC105" s="203"/>
    </row>
    <row r="106" spans="1:29" ht="15">
      <c r="A106" s="203"/>
      <c r="B106" s="226">
        <v>40</v>
      </c>
      <c r="C106" s="440" t="str">
        <f>IF('INPUT DATA'!Q50="","",'INPUT DATA'!Q50)</f>
        <v/>
      </c>
      <c r="D106" s="441"/>
      <c r="E106" s="442"/>
      <c r="F106" s="438" t="str">
        <f>IF('INPUT DATA'!T50="","",'INPUT DATA'!T50)</f>
        <v/>
      </c>
      <c r="G106" s="439"/>
      <c r="H106" s="179" t="str">
        <f>IF('INPUT DATA'!S50="","",'INPUT DATA'!S50)</f>
        <v/>
      </c>
      <c r="I106" s="88" t="str">
        <f t="shared" ca="1" si="1"/>
        <v/>
      </c>
      <c r="J106" s="224"/>
      <c r="K106" s="94"/>
      <c r="L106" s="95"/>
      <c r="M106" s="95"/>
      <c r="N106" s="95"/>
      <c r="O106" s="95"/>
      <c r="P106" s="95"/>
      <c r="Q106" s="103"/>
      <c r="R106" s="96"/>
      <c r="S106" s="203"/>
      <c r="T106" s="203"/>
      <c r="U106" s="203"/>
      <c r="V106" s="203"/>
      <c r="W106" s="203"/>
      <c r="X106" s="203"/>
      <c r="Y106" s="203"/>
      <c r="Z106" s="203"/>
      <c r="AA106" s="203"/>
      <c r="AB106" s="203"/>
      <c r="AC106" s="203"/>
    </row>
    <row r="107" spans="1:29" ht="15">
      <c r="A107" s="203"/>
      <c r="B107" s="226">
        <v>41</v>
      </c>
      <c r="C107" s="440" t="str">
        <f>IF('INPUT DATA'!Q51="","",'INPUT DATA'!Q51)</f>
        <v/>
      </c>
      <c r="D107" s="441"/>
      <c r="E107" s="442"/>
      <c r="F107" s="438" t="str">
        <f>IF('INPUT DATA'!T51="","",'INPUT DATA'!T51)</f>
        <v/>
      </c>
      <c r="G107" s="439"/>
      <c r="H107" s="179" t="str">
        <f>IF('INPUT DATA'!S51="","",'INPUT DATA'!S51)</f>
        <v/>
      </c>
      <c r="I107" s="88" t="str">
        <f t="shared" ca="1" si="1"/>
        <v/>
      </c>
      <c r="J107" s="224"/>
      <c r="K107" s="94"/>
      <c r="L107" s="95"/>
      <c r="M107" s="95"/>
      <c r="N107" s="95"/>
      <c r="O107" s="95"/>
      <c r="P107" s="95"/>
      <c r="Q107" s="103"/>
      <c r="R107" s="96"/>
      <c r="S107" s="203"/>
      <c r="T107" s="203"/>
      <c r="U107" s="203"/>
      <c r="V107" s="203"/>
      <c r="W107" s="203"/>
      <c r="X107" s="203"/>
      <c r="Y107" s="203"/>
      <c r="Z107" s="203"/>
      <c r="AA107" s="203"/>
      <c r="AB107" s="203"/>
      <c r="AC107" s="203"/>
    </row>
    <row r="108" spans="1:29" ht="15">
      <c r="A108" s="203"/>
      <c r="B108" s="226">
        <v>42</v>
      </c>
      <c r="C108" s="440" t="str">
        <f>IF('INPUT DATA'!Q52="","",'INPUT DATA'!Q52)</f>
        <v/>
      </c>
      <c r="D108" s="441"/>
      <c r="E108" s="442"/>
      <c r="F108" s="438" t="str">
        <f>IF('INPUT DATA'!T52="","",'INPUT DATA'!T52)</f>
        <v/>
      </c>
      <c r="G108" s="439"/>
      <c r="H108" s="179" t="str">
        <f>IF('INPUT DATA'!S52="","",'INPUT DATA'!S52)</f>
        <v/>
      </c>
      <c r="I108" s="88" t="str">
        <f t="shared" ca="1" si="1"/>
        <v/>
      </c>
      <c r="J108" s="224"/>
      <c r="K108" s="94"/>
      <c r="L108" s="95"/>
      <c r="M108" s="95"/>
      <c r="N108" s="95"/>
      <c r="O108" s="95"/>
      <c r="P108" s="95"/>
      <c r="Q108" s="103"/>
      <c r="R108" s="96"/>
      <c r="S108" s="203"/>
      <c r="T108" s="203"/>
      <c r="U108" s="203"/>
      <c r="V108" s="203"/>
      <c r="W108" s="203"/>
      <c r="X108" s="203"/>
      <c r="Y108" s="203"/>
      <c r="Z108" s="203"/>
      <c r="AA108" s="203"/>
      <c r="AB108" s="203"/>
      <c r="AC108" s="203"/>
    </row>
    <row r="109" spans="1:29" ht="15">
      <c r="A109" s="203"/>
      <c r="B109" s="226">
        <v>43</v>
      </c>
      <c r="C109" s="440" t="str">
        <f>IF('INPUT DATA'!Q53="","",'INPUT DATA'!Q53)</f>
        <v/>
      </c>
      <c r="D109" s="441"/>
      <c r="E109" s="442"/>
      <c r="F109" s="438" t="str">
        <f>IF('INPUT DATA'!T53="","",'INPUT DATA'!T53)</f>
        <v/>
      </c>
      <c r="G109" s="439"/>
      <c r="H109" s="179" t="str">
        <f>IF('INPUT DATA'!S53="","",'INPUT DATA'!S53)</f>
        <v/>
      </c>
      <c r="I109" s="88" t="str">
        <f t="shared" ca="1" si="1"/>
        <v/>
      </c>
      <c r="J109" s="224"/>
      <c r="K109" s="94"/>
      <c r="L109" s="95"/>
      <c r="M109" s="95"/>
      <c r="N109" s="95"/>
      <c r="O109" s="95"/>
      <c r="P109" s="95"/>
      <c r="Q109" s="103"/>
      <c r="R109" s="96"/>
      <c r="S109" s="203"/>
      <c r="T109" s="203"/>
      <c r="U109" s="203"/>
      <c r="V109" s="203"/>
      <c r="W109" s="203"/>
      <c r="X109" s="203"/>
      <c r="Y109" s="203"/>
      <c r="Z109" s="203"/>
      <c r="AA109" s="203"/>
      <c r="AB109" s="203"/>
      <c r="AC109" s="203"/>
    </row>
    <row r="110" spans="1:29" ht="15">
      <c r="A110" s="203"/>
      <c r="B110" s="226">
        <v>44</v>
      </c>
      <c r="C110" s="440" t="str">
        <f>IF('INPUT DATA'!Q54="","",'INPUT DATA'!Q54)</f>
        <v/>
      </c>
      <c r="D110" s="441"/>
      <c r="E110" s="442"/>
      <c r="F110" s="438" t="str">
        <f>IF('INPUT DATA'!T54="","",'INPUT DATA'!T54)</f>
        <v/>
      </c>
      <c r="G110" s="439"/>
      <c r="H110" s="179" t="str">
        <f>IF('INPUT DATA'!S54="","",'INPUT DATA'!S54)</f>
        <v/>
      </c>
      <c r="I110" s="88" t="str">
        <f t="shared" ca="1" si="1"/>
        <v/>
      </c>
      <c r="J110" s="224"/>
      <c r="K110" s="94"/>
      <c r="L110" s="95"/>
      <c r="M110" s="95"/>
      <c r="N110" s="95"/>
      <c r="O110" s="95"/>
      <c r="P110" s="95"/>
      <c r="Q110" s="103"/>
      <c r="R110" s="96"/>
      <c r="S110" s="203"/>
      <c r="T110" s="203"/>
      <c r="U110" s="203"/>
      <c r="V110" s="203"/>
      <c r="W110" s="203"/>
      <c r="X110" s="203"/>
      <c r="Y110" s="203"/>
      <c r="Z110" s="203"/>
      <c r="AA110" s="203"/>
      <c r="AB110" s="203"/>
      <c r="AC110" s="203"/>
    </row>
    <row r="111" spans="1:29" ht="15">
      <c r="A111" s="203"/>
      <c r="B111" s="226">
        <v>45</v>
      </c>
      <c r="C111" s="440" t="str">
        <f>IF('INPUT DATA'!Q55="","",'INPUT DATA'!Q55)</f>
        <v/>
      </c>
      <c r="D111" s="441"/>
      <c r="E111" s="442"/>
      <c r="F111" s="438" t="str">
        <f>IF('INPUT DATA'!T55="","",'INPUT DATA'!T55)</f>
        <v/>
      </c>
      <c r="G111" s="439"/>
      <c r="H111" s="179" t="str">
        <f>IF('INPUT DATA'!S55="","",'INPUT DATA'!S55)</f>
        <v/>
      </c>
      <c r="I111" s="88" t="str">
        <f t="shared" ca="1" si="1"/>
        <v/>
      </c>
      <c r="J111" s="224"/>
      <c r="K111" s="97"/>
      <c r="L111" s="98"/>
      <c r="M111" s="98"/>
      <c r="N111" s="98"/>
      <c r="O111" s="98"/>
      <c r="P111" s="98"/>
      <c r="Q111" s="104"/>
      <c r="R111" s="99"/>
      <c r="S111" s="203"/>
      <c r="T111" s="203"/>
      <c r="U111" s="203"/>
      <c r="V111" s="203"/>
      <c r="W111" s="203"/>
      <c r="X111" s="203"/>
      <c r="Y111" s="203"/>
      <c r="Z111" s="203"/>
      <c r="AA111" s="203"/>
      <c r="AB111" s="203"/>
      <c r="AC111" s="203"/>
    </row>
    <row r="112" spans="1:29" ht="15">
      <c r="A112" s="203"/>
      <c r="B112" s="226">
        <v>46</v>
      </c>
      <c r="C112" s="440" t="str">
        <f>IF('INPUT DATA'!Q56="","",'INPUT DATA'!Q56)</f>
        <v/>
      </c>
      <c r="D112" s="441"/>
      <c r="E112" s="442"/>
      <c r="F112" s="438" t="str">
        <f>IF('INPUT DATA'!T56="","",'INPUT DATA'!T56)</f>
        <v/>
      </c>
      <c r="G112" s="439"/>
      <c r="H112" s="179" t="str">
        <f>IF('INPUT DATA'!S56="","",'INPUT DATA'!S56)</f>
        <v/>
      </c>
      <c r="I112" s="88" t="str">
        <f t="shared" ca="1" si="1"/>
        <v/>
      </c>
      <c r="J112" s="224"/>
      <c r="K112" s="94"/>
      <c r="L112" s="95"/>
      <c r="M112" s="95"/>
      <c r="N112" s="95"/>
      <c r="O112" s="95"/>
      <c r="P112" s="95"/>
      <c r="Q112" s="103"/>
      <c r="R112" s="96"/>
      <c r="S112" s="203"/>
      <c r="T112" s="203"/>
      <c r="U112" s="203"/>
      <c r="V112" s="203"/>
      <c r="W112" s="203"/>
      <c r="X112" s="203"/>
      <c r="Y112" s="203"/>
      <c r="Z112" s="203"/>
      <c r="AA112" s="203"/>
      <c r="AB112" s="203"/>
      <c r="AC112" s="203"/>
    </row>
    <row r="113" spans="1:29" ht="15">
      <c r="A113" s="203"/>
      <c r="B113" s="226">
        <v>47</v>
      </c>
      <c r="C113" s="440" t="str">
        <f>IF('INPUT DATA'!Q57="","",'INPUT DATA'!Q57)</f>
        <v/>
      </c>
      <c r="D113" s="441"/>
      <c r="E113" s="442"/>
      <c r="F113" s="438" t="str">
        <f>IF('INPUT DATA'!T57="","",'INPUT DATA'!T57)</f>
        <v/>
      </c>
      <c r="G113" s="439"/>
      <c r="H113" s="179" t="str">
        <f>IF('INPUT DATA'!S57="","",'INPUT DATA'!S57)</f>
        <v/>
      </c>
      <c r="I113" s="88" t="str">
        <f t="shared" ca="1" si="1"/>
        <v/>
      </c>
      <c r="J113" s="224"/>
      <c r="K113" s="94"/>
      <c r="L113" s="95"/>
      <c r="M113" s="95"/>
      <c r="N113" s="95"/>
      <c r="O113" s="95"/>
      <c r="P113" s="95"/>
      <c r="Q113" s="103"/>
      <c r="R113" s="96"/>
      <c r="S113" s="203"/>
      <c r="T113" s="203"/>
      <c r="U113" s="203"/>
      <c r="V113" s="203"/>
      <c r="W113" s="203"/>
      <c r="X113" s="203"/>
      <c r="Y113" s="203"/>
      <c r="Z113" s="203"/>
      <c r="AA113" s="203"/>
      <c r="AB113" s="203"/>
      <c r="AC113" s="203"/>
    </row>
    <row r="114" spans="1:29" ht="15">
      <c r="A114" s="203"/>
      <c r="B114" s="226">
        <v>48</v>
      </c>
      <c r="C114" s="440" t="str">
        <f>IF('INPUT DATA'!Q58="","",'INPUT DATA'!Q58)</f>
        <v/>
      </c>
      <c r="D114" s="441"/>
      <c r="E114" s="442"/>
      <c r="F114" s="438" t="str">
        <f>IF('INPUT DATA'!T58="","",'INPUT DATA'!T58)</f>
        <v/>
      </c>
      <c r="G114" s="439"/>
      <c r="H114" s="179" t="str">
        <f>IF('INPUT DATA'!S58="","",'INPUT DATA'!S58)</f>
        <v/>
      </c>
      <c r="I114" s="88" t="str">
        <f t="shared" ca="1" si="1"/>
        <v/>
      </c>
      <c r="J114" s="224"/>
      <c r="K114" s="94"/>
      <c r="L114" s="95"/>
      <c r="M114" s="95"/>
      <c r="N114" s="95"/>
      <c r="O114" s="95"/>
      <c r="P114" s="95"/>
      <c r="Q114" s="103"/>
      <c r="R114" s="96"/>
      <c r="S114" s="203"/>
      <c r="T114" s="203"/>
      <c r="U114" s="203"/>
      <c r="V114" s="203"/>
      <c r="W114" s="203"/>
      <c r="X114" s="203"/>
      <c r="Y114" s="203"/>
      <c r="Z114" s="203"/>
      <c r="AA114" s="203"/>
      <c r="AB114" s="203"/>
      <c r="AC114" s="203"/>
    </row>
    <row r="115" spans="1:29" ht="15">
      <c r="A115" s="203"/>
      <c r="B115" s="226">
        <v>49</v>
      </c>
      <c r="C115" s="440" t="str">
        <f>IF('INPUT DATA'!Q59="","",'INPUT DATA'!Q59)</f>
        <v/>
      </c>
      <c r="D115" s="441"/>
      <c r="E115" s="442"/>
      <c r="F115" s="438" t="str">
        <f>IF('INPUT DATA'!T59="","",'INPUT DATA'!T59)</f>
        <v/>
      </c>
      <c r="G115" s="439"/>
      <c r="H115" s="179" t="str">
        <f>IF('INPUT DATA'!S59="","",'INPUT DATA'!S59)</f>
        <v/>
      </c>
      <c r="I115" s="88" t="str">
        <f t="shared" ca="1" si="1"/>
        <v/>
      </c>
      <c r="J115" s="224"/>
      <c r="K115" s="94"/>
      <c r="L115" s="95"/>
      <c r="M115" s="95"/>
      <c r="N115" s="95"/>
      <c r="O115" s="95"/>
      <c r="P115" s="95"/>
      <c r="Q115" s="103"/>
      <c r="R115" s="96"/>
      <c r="S115" s="203"/>
      <c r="T115" s="203"/>
      <c r="U115" s="203"/>
      <c r="V115" s="203"/>
      <c r="W115" s="203"/>
      <c r="X115" s="203"/>
      <c r="Y115" s="203"/>
      <c r="Z115" s="203"/>
      <c r="AA115" s="203"/>
      <c r="AB115" s="203"/>
      <c r="AC115" s="203"/>
    </row>
    <row r="116" spans="1:29" ht="15.6" thickBot="1">
      <c r="A116" s="203"/>
      <c r="B116" s="237">
        <v>50</v>
      </c>
      <c r="C116" s="448" t="str">
        <f>IF('INPUT DATA'!Q60="","",'INPUT DATA'!Q60)</f>
        <v/>
      </c>
      <c r="D116" s="449"/>
      <c r="E116" s="450"/>
      <c r="F116" s="451" t="str">
        <f>IF('INPUT DATA'!T60="","",'INPUT DATA'!T60)</f>
        <v/>
      </c>
      <c r="G116" s="452"/>
      <c r="H116" s="180" t="str">
        <f>IF('INPUT DATA'!S60="","",'INPUT DATA'!S60)</f>
        <v/>
      </c>
      <c r="I116" s="89" t="str">
        <f t="shared" ca="1" si="1"/>
        <v/>
      </c>
      <c r="J116" s="228"/>
      <c r="K116" s="105"/>
      <c r="L116" s="106"/>
      <c r="M116" s="106"/>
      <c r="N116" s="106"/>
      <c r="O116" s="106"/>
      <c r="P116" s="106"/>
      <c r="Q116" s="107"/>
      <c r="R116" s="108"/>
      <c r="S116" s="203"/>
      <c r="T116" s="203"/>
      <c r="U116" s="203"/>
      <c r="V116" s="203"/>
      <c r="W116" s="203"/>
      <c r="X116" s="203"/>
      <c r="Y116" s="203"/>
      <c r="Z116" s="203"/>
      <c r="AA116" s="203"/>
      <c r="AB116" s="203"/>
      <c r="AC116" s="203"/>
    </row>
    <row r="117" spans="1:29" ht="13.2">
      <c r="A117" s="202"/>
      <c r="B117" s="202"/>
      <c r="C117" s="201"/>
      <c r="D117" s="202"/>
      <c r="E117" s="202"/>
      <c r="F117" s="202"/>
      <c r="G117" s="202"/>
      <c r="H117" s="202"/>
      <c r="I117" s="202"/>
      <c r="J117" s="202"/>
      <c r="K117" s="202"/>
      <c r="L117" s="202"/>
      <c r="M117" s="202"/>
      <c r="N117" s="202"/>
      <c r="O117" s="202"/>
      <c r="P117" s="202"/>
      <c r="Q117" s="202"/>
      <c r="R117" s="202"/>
      <c r="S117" s="202"/>
      <c r="T117" s="202"/>
      <c r="U117" s="202"/>
      <c r="V117" s="202"/>
      <c r="W117" s="202"/>
      <c r="X117" s="202"/>
      <c r="Y117" s="202"/>
      <c r="Z117" s="202"/>
      <c r="AA117" s="202"/>
      <c r="AB117" s="202"/>
      <c r="AC117" s="202"/>
    </row>
    <row r="118" spans="1:29" ht="13.2">
      <c r="A118" s="202"/>
      <c r="B118" s="202"/>
      <c r="C118" s="201"/>
      <c r="D118" s="202"/>
      <c r="E118" s="202"/>
      <c r="F118" s="202"/>
      <c r="G118" s="202"/>
      <c r="H118" s="202"/>
      <c r="I118" s="202"/>
      <c r="J118" s="202"/>
      <c r="K118" s="202"/>
      <c r="L118" s="202"/>
      <c r="M118" s="202"/>
      <c r="N118" s="202"/>
      <c r="O118" s="202"/>
      <c r="P118" s="202"/>
      <c r="Q118" s="202"/>
      <c r="R118" s="202"/>
      <c r="S118" s="202"/>
      <c r="T118" s="202"/>
      <c r="U118" s="202"/>
      <c r="V118" s="202"/>
      <c r="W118" s="202"/>
      <c r="X118" s="202"/>
      <c r="Y118" s="202"/>
      <c r="Z118" s="202"/>
      <c r="AA118" s="202"/>
      <c r="AB118" s="202"/>
      <c r="AC118" s="202"/>
    </row>
    <row r="119" spans="1:29" ht="13.2">
      <c r="A119" s="202"/>
      <c r="B119" s="202"/>
      <c r="C119" s="201"/>
      <c r="D119" s="202"/>
      <c r="E119" s="202"/>
      <c r="F119" s="202"/>
      <c r="G119" s="202"/>
      <c r="H119" s="202"/>
      <c r="I119" s="202"/>
      <c r="J119" s="202"/>
      <c r="K119" s="202"/>
      <c r="L119" s="202"/>
      <c r="M119" s="202"/>
      <c r="N119" s="202"/>
      <c r="O119" s="202"/>
      <c r="P119" s="202"/>
      <c r="Q119" s="202"/>
      <c r="R119" s="202"/>
      <c r="S119" s="202"/>
      <c r="T119" s="202"/>
      <c r="U119" s="202"/>
      <c r="V119" s="202"/>
      <c r="W119" s="202"/>
      <c r="X119" s="202"/>
      <c r="Y119" s="202"/>
      <c r="Z119" s="202"/>
      <c r="AA119" s="202"/>
      <c r="AB119" s="202"/>
      <c r="AC119" s="202"/>
    </row>
    <row r="120" spans="1:29" ht="13.2">
      <c r="A120" s="202"/>
      <c r="B120" s="202"/>
      <c r="C120" s="201"/>
      <c r="D120" s="202"/>
      <c r="E120" s="202"/>
      <c r="F120" s="202"/>
      <c r="G120" s="202"/>
      <c r="H120" s="202"/>
      <c r="I120" s="202"/>
      <c r="J120" s="202"/>
      <c r="K120" s="202"/>
      <c r="L120" s="202"/>
      <c r="M120" s="202"/>
      <c r="N120" s="202"/>
      <c r="O120" s="202"/>
      <c r="P120" s="202"/>
      <c r="Q120" s="202"/>
      <c r="R120" s="202"/>
      <c r="S120" s="202"/>
      <c r="T120" s="202"/>
      <c r="U120" s="202"/>
      <c r="V120" s="202"/>
      <c r="W120" s="202"/>
      <c r="X120" s="202"/>
      <c r="Y120" s="202"/>
      <c r="Z120" s="202"/>
      <c r="AA120" s="202"/>
      <c r="AB120" s="202"/>
      <c r="AC120" s="202"/>
    </row>
    <row r="121" spans="1:29" ht="13.2">
      <c r="A121" s="202"/>
      <c r="B121" s="202"/>
      <c r="C121" s="201"/>
      <c r="D121" s="202"/>
      <c r="E121" s="202"/>
      <c r="F121" s="202"/>
      <c r="G121" s="202"/>
      <c r="H121" s="202"/>
      <c r="I121" s="202"/>
      <c r="J121" s="202"/>
      <c r="K121" s="202"/>
      <c r="L121" s="202"/>
      <c r="M121" s="202"/>
      <c r="N121" s="202"/>
      <c r="O121" s="202"/>
      <c r="P121" s="202"/>
      <c r="Q121" s="202"/>
      <c r="R121" s="202"/>
      <c r="S121" s="202"/>
      <c r="T121" s="202"/>
      <c r="U121" s="202"/>
      <c r="V121" s="202"/>
      <c r="W121" s="202"/>
      <c r="X121" s="202"/>
      <c r="Y121" s="202"/>
      <c r="Z121" s="202"/>
      <c r="AA121" s="202"/>
      <c r="AB121" s="202"/>
      <c r="AC121" s="202"/>
    </row>
    <row r="122" spans="1:29" ht="13.2">
      <c r="A122" s="202"/>
      <c r="B122" s="202"/>
      <c r="C122" s="201"/>
      <c r="D122" s="202"/>
      <c r="E122" s="202"/>
      <c r="F122" s="202"/>
      <c r="G122" s="202"/>
      <c r="H122" s="202"/>
      <c r="I122" s="202"/>
      <c r="J122" s="202"/>
      <c r="K122" s="202"/>
      <c r="L122" s="202"/>
      <c r="M122" s="202"/>
      <c r="N122" s="202"/>
      <c r="O122" s="202"/>
      <c r="P122" s="202"/>
      <c r="Q122" s="202"/>
      <c r="R122" s="202"/>
      <c r="S122" s="202"/>
      <c r="T122" s="202"/>
      <c r="U122" s="202"/>
      <c r="V122" s="202"/>
      <c r="W122" s="202"/>
      <c r="X122" s="202"/>
      <c r="Y122" s="202"/>
      <c r="Z122" s="202"/>
      <c r="AA122" s="202"/>
      <c r="AB122" s="202"/>
      <c r="AC122" s="202"/>
    </row>
    <row r="123" spans="1:29" ht="13.2">
      <c r="A123" s="202"/>
      <c r="B123" s="202"/>
      <c r="C123" s="201"/>
      <c r="D123" s="202"/>
      <c r="E123" s="202"/>
      <c r="F123" s="202"/>
      <c r="G123" s="202"/>
      <c r="H123" s="202"/>
      <c r="I123" s="202"/>
      <c r="J123" s="202"/>
      <c r="K123" s="202"/>
      <c r="L123" s="202"/>
      <c r="M123" s="202"/>
      <c r="N123" s="202"/>
      <c r="O123" s="202"/>
      <c r="P123" s="202"/>
      <c r="Q123" s="202"/>
      <c r="R123" s="202"/>
      <c r="S123" s="202"/>
      <c r="T123" s="202"/>
      <c r="U123" s="202"/>
      <c r="V123" s="202"/>
      <c r="W123" s="202"/>
      <c r="X123" s="202"/>
      <c r="Y123" s="202"/>
      <c r="Z123" s="202"/>
      <c r="AA123" s="202"/>
      <c r="AB123" s="202"/>
      <c r="AC123" s="202"/>
    </row>
    <row r="124" spans="1:29" ht="13.2">
      <c r="A124" s="202"/>
      <c r="B124" s="202"/>
      <c r="C124" s="201"/>
      <c r="D124" s="202"/>
      <c r="E124" s="202"/>
      <c r="F124" s="202"/>
      <c r="G124" s="202"/>
      <c r="H124" s="202"/>
      <c r="I124" s="202"/>
      <c r="J124" s="202"/>
      <c r="K124" s="202"/>
      <c r="L124" s="202"/>
      <c r="M124" s="202"/>
      <c r="N124" s="202"/>
      <c r="O124" s="202"/>
      <c r="P124" s="202"/>
      <c r="Q124" s="202"/>
      <c r="R124" s="202"/>
      <c r="S124" s="202"/>
      <c r="T124" s="202"/>
      <c r="U124" s="202"/>
      <c r="V124" s="202"/>
      <c r="W124" s="202"/>
      <c r="X124" s="202"/>
      <c r="Y124" s="202"/>
      <c r="Z124" s="202"/>
      <c r="AA124" s="202"/>
      <c r="AB124" s="202"/>
      <c r="AC124" s="202"/>
    </row>
    <row r="125" spans="1:29" ht="13.2">
      <c r="A125" s="202"/>
      <c r="B125" s="202"/>
      <c r="C125" s="201"/>
      <c r="D125" s="202"/>
      <c r="E125" s="202"/>
      <c r="F125" s="202"/>
      <c r="G125" s="202"/>
      <c r="H125" s="202"/>
      <c r="I125" s="202"/>
      <c r="J125" s="202"/>
      <c r="K125" s="202"/>
      <c r="L125" s="202"/>
      <c r="M125" s="202"/>
      <c r="N125" s="202"/>
      <c r="O125" s="202"/>
      <c r="P125" s="202"/>
      <c r="Q125" s="202"/>
      <c r="R125" s="202"/>
      <c r="S125" s="202"/>
      <c r="T125" s="202"/>
      <c r="U125" s="202"/>
      <c r="V125" s="202"/>
      <c r="W125" s="202"/>
      <c r="X125" s="202"/>
      <c r="Y125" s="202"/>
      <c r="Z125" s="202"/>
      <c r="AA125" s="202"/>
      <c r="AB125" s="202"/>
      <c r="AC125" s="202"/>
    </row>
    <row r="126" spans="1:29" ht="13.2">
      <c r="A126" s="202"/>
      <c r="B126" s="202"/>
      <c r="C126" s="201"/>
      <c r="D126" s="202"/>
      <c r="E126" s="202"/>
      <c r="F126" s="202"/>
      <c r="G126" s="202"/>
      <c r="H126" s="202"/>
      <c r="I126" s="202"/>
      <c r="J126" s="202"/>
      <c r="K126" s="202"/>
      <c r="L126" s="202"/>
      <c r="M126" s="202"/>
      <c r="N126" s="202"/>
      <c r="O126" s="202"/>
      <c r="P126" s="202"/>
      <c r="Q126" s="202"/>
      <c r="R126" s="202"/>
      <c r="S126" s="202"/>
      <c r="T126" s="202"/>
      <c r="U126" s="202"/>
      <c r="V126" s="202"/>
      <c r="W126" s="202"/>
      <c r="X126" s="202"/>
      <c r="Y126" s="202"/>
      <c r="Z126" s="202"/>
      <c r="AA126" s="202"/>
      <c r="AB126" s="202"/>
      <c r="AC126" s="202"/>
    </row>
    <row r="127" spans="1:29" ht="13.2">
      <c r="A127" s="202"/>
      <c r="B127" s="202"/>
      <c r="C127" s="201"/>
      <c r="D127" s="202"/>
      <c r="E127" s="202"/>
      <c r="F127" s="202"/>
      <c r="G127" s="202"/>
      <c r="H127" s="202"/>
      <c r="I127" s="202"/>
      <c r="J127" s="202"/>
      <c r="K127" s="202"/>
      <c r="L127" s="202"/>
      <c r="M127" s="202"/>
      <c r="N127" s="202"/>
      <c r="O127" s="202"/>
      <c r="P127" s="202"/>
      <c r="Q127" s="202"/>
      <c r="R127" s="202"/>
      <c r="S127" s="202"/>
      <c r="T127" s="202"/>
      <c r="U127" s="202"/>
      <c r="V127" s="202"/>
      <c r="W127" s="202"/>
      <c r="X127" s="202"/>
      <c r="Y127" s="202"/>
      <c r="Z127" s="202"/>
      <c r="AA127" s="202"/>
      <c r="AB127" s="202"/>
      <c r="AC127" s="202"/>
    </row>
  </sheetData>
  <sheetProtection algorithmName="SHA-512" hashValue="Zzc5lCv48ARlAzuE5jqqJaWY4d3zNtFMSv4IM2mwQV0o8xJBve4x100bu/OUPHSTd2TbCu7WfZ6Z1HafjWcqqg==" saltValue="GSs7IdQ23fS25r4Kf5IPgw==" spinCount="100000" sheet="1" objects="1" scenarios="1" formatCells="0" formatColumns="0" formatRows="0"/>
  <mergeCells count="229">
    <mergeCell ref="B8:R8"/>
    <mergeCell ref="B9:E10"/>
    <mergeCell ref="G9:K9"/>
    <mergeCell ref="L9:N9"/>
    <mergeCell ref="O9:R9"/>
    <mergeCell ref="G10:K10"/>
    <mergeCell ref="L10:N10"/>
    <mergeCell ref="O10:R10"/>
    <mergeCell ref="A1:S4"/>
    <mergeCell ref="E5:G5"/>
    <mergeCell ref="E6:G6"/>
    <mergeCell ref="K12:Q12"/>
    <mergeCell ref="K13:M13"/>
    <mergeCell ref="N13:N14"/>
    <mergeCell ref="O13:O14"/>
    <mergeCell ref="P13:P14"/>
    <mergeCell ref="Q13:Q14"/>
    <mergeCell ref="R13:R14"/>
    <mergeCell ref="B11:E14"/>
    <mergeCell ref="F11:G14"/>
    <mergeCell ref="H11:H14"/>
    <mergeCell ref="I11:I14"/>
    <mergeCell ref="J11:J14"/>
    <mergeCell ref="K11:R11"/>
    <mergeCell ref="C19:E19"/>
    <mergeCell ref="F19:G19"/>
    <mergeCell ref="C20:E20"/>
    <mergeCell ref="F20:G20"/>
    <mergeCell ref="C21:E21"/>
    <mergeCell ref="F21:G21"/>
    <mergeCell ref="B15:R15"/>
    <mergeCell ref="C16:E16"/>
    <mergeCell ref="F16:G16"/>
    <mergeCell ref="C17:E17"/>
    <mergeCell ref="F17:G17"/>
    <mergeCell ref="C18:E18"/>
    <mergeCell ref="F18:G18"/>
    <mergeCell ref="C25:E25"/>
    <mergeCell ref="F25:G25"/>
    <mergeCell ref="C26:E26"/>
    <mergeCell ref="F26:G26"/>
    <mergeCell ref="C27:E27"/>
    <mergeCell ref="F27:G27"/>
    <mergeCell ref="C22:E22"/>
    <mergeCell ref="F22:G22"/>
    <mergeCell ref="C23:E23"/>
    <mergeCell ref="F23:G23"/>
    <mergeCell ref="C24:E24"/>
    <mergeCell ref="F24:G24"/>
    <mergeCell ref="C31:E31"/>
    <mergeCell ref="F31:G31"/>
    <mergeCell ref="C32:E32"/>
    <mergeCell ref="F32:G32"/>
    <mergeCell ref="C33:E33"/>
    <mergeCell ref="F33:G33"/>
    <mergeCell ref="C28:E28"/>
    <mergeCell ref="F28:G28"/>
    <mergeCell ref="C29:E29"/>
    <mergeCell ref="F29:G29"/>
    <mergeCell ref="C30:E30"/>
    <mergeCell ref="F30:G30"/>
    <mergeCell ref="C37:E37"/>
    <mergeCell ref="F37:G37"/>
    <mergeCell ref="C38:E38"/>
    <mergeCell ref="F38:G38"/>
    <mergeCell ref="C39:E39"/>
    <mergeCell ref="F39:G39"/>
    <mergeCell ref="C34:E34"/>
    <mergeCell ref="F34:G34"/>
    <mergeCell ref="C35:E35"/>
    <mergeCell ref="F35:G35"/>
    <mergeCell ref="C36:E36"/>
    <mergeCell ref="F36:G36"/>
    <mergeCell ref="C43:E43"/>
    <mergeCell ref="F43:G43"/>
    <mergeCell ref="C44:E44"/>
    <mergeCell ref="F44:G44"/>
    <mergeCell ref="C45:E45"/>
    <mergeCell ref="F45:G45"/>
    <mergeCell ref="C40:E40"/>
    <mergeCell ref="F40:G40"/>
    <mergeCell ref="C41:E41"/>
    <mergeCell ref="F41:G41"/>
    <mergeCell ref="C42:E42"/>
    <mergeCell ref="F42:G42"/>
    <mergeCell ref="C49:E49"/>
    <mergeCell ref="F49:G49"/>
    <mergeCell ref="C50:E50"/>
    <mergeCell ref="F50:G50"/>
    <mergeCell ref="C51:E51"/>
    <mergeCell ref="F51:G51"/>
    <mergeCell ref="C46:E46"/>
    <mergeCell ref="F46:G46"/>
    <mergeCell ref="C47:E47"/>
    <mergeCell ref="F47:G47"/>
    <mergeCell ref="C48:E48"/>
    <mergeCell ref="F48:G48"/>
    <mergeCell ref="C55:E55"/>
    <mergeCell ref="F55:G55"/>
    <mergeCell ref="C56:E56"/>
    <mergeCell ref="F56:G56"/>
    <mergeCell ref="C57:E57"/>
    <mergeCell ref="F57:G57"/>
    <mergeCell ref="C52:E52"/>
    <mergeCell ref="F52:G52"/>
    <mergeCell ref="C53:E53"/>
    <mergeCell ref="F53:G53"/>
    <mergeCell ref="C54:E54"/>
    <mergeCell ref="F54:G54"/>
    <mergeCell ref="C61:E61"/>
    <mergeCell ref="F61:G61"/>
    <mergeCell ref="C62:E62"/>
    <mergeCell ref="F62:G62"/>
    <mergeCell ref="C63:E63"/>
    <mergeCell ref="F63:G63"/>
    <mergeCell ref="C58:E58"/>
    <mergeCell ref="F58:G58"/>
    <mergeCell ref="C59:E59"/>
    <mergeCell ref="F59:G59"/>
    <mergeCell ref="C60:E60"/>
    <mergeCell ref="F60:G60"/>
    <mergeCell ref="C68:E68"/>
    <mergeCell ref="F68:G68"/>
    <mergeCell ref="C69:E69"/>
    <mergeCell ref="F69:G69"/>
    <mergeCell ref="C70:E70"/>
    <mergeCell ref="F70:G70"/>
    <mergeCell ref="C64:E64"/>
    <mergeCell ref="F64:G64"/>
    <mergeCell ref="C65:E65"/>
    <mergeCell ref="F65:G65"/>
    <mergeCell ref="C67:E67"/>
    <mergeCell ref="F67:G67"/>
    <mergeCell ref="C74:E74"/>
    <mergeCell ref="F74:G74"/>
    <mergeCell ref="C75:E75"/>
    <mergeCell ref="F75:G75"/>
    <mergeCell ref="C76:E76"/>
    <mergeCell ref="F76:G76"/>
    <mergeCell ref="C71:E71"/>
    <mergeCell ref="F71:G71"/>
    <mergeCell ref="C72:E72"/>
    <mergeCell ref="F72:G72"/>
    <mergeCell ref="C73:E73"/>
    <mergeCell ref="F73:G73"/>
    <mergeCell ref="C80:E80"/>
    <mergeCell ref="F80:G80"/>
    <mergeCell ref="C81:E81"/>
    <mergeCell ref="F81:G81"/>
    <mergeCell ref="C82:E82"/>
    <mergeCell ref="F82:G82"/>
    <mergeCell ref="C77:E77"/>
    <mergeCell ref="F77:G77"/>
    <mergeCell ref="C78:E78"/>
    <mergeCell ref="F78:G78"/>
    <mergeCell ref="C79:E79"/>
    <mergeCell ref="F79:G79"/>
    <mergeCell ref="C86:E86"/>
    <mergeCell ref="F86:G86"/>
    <mergeCell ref="C87:E87"/>
    <mergeCell ref="F87:G87"/>
    <mergeCell ref="C88:E88"/>
    <mergeCell ref="F88:G88"/>
    <mergeCell ref="C83:E83"/>
    <mergeCell ref="F83:G83"/>
    <mergeCell ref="C84:E84"/>
    <mergeCell ref="F84:G84"/>
    <mergeCell ref="C85:E85"/>
    <mergeCell ref="F85:G85"/>
    <mergeCell ref="C92:E92"/>
    <mergeCell ref="F92:G92"/>
    <mergeCell ref="C93:E93"/>
    <mergeCell ref="F93:G93"/>
    <mergeCell ref="C94:E94"/>
    <mergeCell ref="F94:G94"/>
    <mergeCell ref="C89:E89"/>
    <mergeCell ref="F89:G89"/>
    <mergeCell ref="C90:E90"/>
    <mergeCell ref="F90:G90"/>
    <mergeCell ref="C91:E91"/>
    <mergeCell ref="F91:G91"/>
    <mergeCell ref="C98:E98"/>
    <mergeCell ref="F98:G98"/>
    <mergeCell ref="C99:E99"/>
    <mergeCell ref="F99:G99"/>
    <mergeCell ref="C100:E100"/>
    <mergeCell ref="F100:G100"/>
    <mergeCell ref="C95:E95"/>
    <mergeCell ref="F95:G95"/>
    <mergeCell ref="C96:E96"/>
    <mergeCell ref="F96:G96"/>
    <mergeCell ref="C97:E97"/>
    <mergeCell ref="F97:G97"/>
    <mergeCell ref="C104:E104"/>
    <mergeCell ref="F104:G104"/>
    <mergeCell ref="C105:E105"/>
    <mergeCell ref="F105:G105"/>
    <mergeCell ref="C106:E106"/>
    <mergeCell ref="F106:G106"/>
    <mergeCell ref="C101:E101"/>
    <mergeCell ref="F101:G101"/>
    <mergeCell ref="C102:E102"/>
    <mergeCell ref="F102:G102"/>
    <mergeCell ref="C103:E103"/>
    <mergeCell ref="F103:G103"/>
    <mergeCell ref="C116:E116"/>
    <mergeCell ref="F116:G116"/>
    <mergeCell ref="J5:M5"/>
    <mergeCell ref="J6:L6"/>
    <mergeCell ref="M6:N6"/>
    <mergeCell ref="O6:P6"/>
    <mergeCell ref="C113:E113"/>
    <mergeCell ref="F113:G113"/>
    <mergeCell ref="C114:E114"/>
    <mergeCell ref="F114:G114"/>
    <mergeCell ref="C115:E115"/>
    <mergeCell ref="F115:G115"/>
    <mergeCell ref="C110:E110"/>
    <mergeCell ref="F110:G110"/>
    <mergeCell ref="C111:E111"/>
    <mergeCell ref="F111:G111"/>
    <mergeCell ref="C112:E112"/>
    <mergeCell ref="F112:G112"/>
    <mergeCell ref="C107:E107"/>
    <mergeCell ref="F107:G107"/>
    <mergeCell ref="C108:E108"/>
    <mergeCell ref="F108:G108"/>
    <mergeCell ref="C109:E109"/>
    <mergeCell ref="F109:G109"/>
  </mergeCells>
  <dataValidations count="1">
    <dataValidation type="list" allowBlank="1" showInputMessage="1" showErrorMessage="1" sqref="J16:J65 J67:J116" xr:uid="{C639E969-361C-4229-9BCB-0F38267D5C6E}">
      <formula1>"M, F"</formula1>
    </dataValidation>
  </dataValidations>
  <pageMargins left="0.7" right="0.7" top="0.75" bottom="0.75" header="0.3" footer="0.3"/>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62"/>
  <sheetViews>
    <sheetView tabSelected="1" zoomScale="55" zoomScaleNormal="55" zoomScalePageLayoutView="55" workbookViewId="0">
      <selection activeCell="AD25" sqref="AD25"/>
    </sheetView>
  </sheetViews>
  <sheetFormatPr defaultColWidth="12.6640625" defaultRowHeight="15.75" customHeight="1"/>
  <cols>
    <col min="1" max="1" width="3.88671875" style="192" customWidth="1"/>
    <col min="2" max="2" width="10.88671875" style="192" customWidth="1"/>
    <col min="3" max="3" width="6.33203125" style="192" customWidth="1"/>
    <col min="4" max="4" width="1.88671875" style="192" customWidth="1"/>
    <col min="5" max="5" width="18.33203125" style="192" customWidth="1"/>
    <col min="6" max="6" width="9.21875" style="192" customWidth="1"/>
    <col min="7" max="7" width="8.44140625" style="192" customWidth="1"/>
    <col min="8" max="9" width="9.109375" style="192" customWidth="1"/>
    <col min="10" max="10" width="10" style="192" customWidth="1"/>
    <col min="11" max="11" width="15.109375" style="192" customWidth="1"/>
    <col min="12" max="16" width="3.88671875" style="192" customWidth="1"/>
    <col min="17" max="17" width="14.77734375" style="192" customWidth="1"/>
    <col min="18" max="28" width="6.44140625" style="192" customWidth="1"/>
    <col min="29" max="29" width="12.6640625" style="192"/>
    <col min="30" max="30" width="3.88671875" style="192" customWidth="1"/>
    <col min="31" max="16384" width="12.6640625" style="192"/>
  </cols>
  <sheetData>
    <row r="1" spans="1:32" ht="15.6" thickBot="1">
      <c r="A1" s="109"/>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row>
    <row r="2" spans="1:32" ht="15">
      <c r="A2" s="110"/>
      <c r="B2" s="111"/>
      <c r="C2" s="111"/>
      <c r="D2" s="111"/>
      <c r="E2" s="111"/>
      <c r="F2" s="111"/>
      <c r="G2" s="111"/>
      <c r="H2" s="111"/>
      <c r="I2" s="111"/>
      <c r="J2" s="111"/>
      <c r="K2" s="111"/>
      <c r="L2" s="112"/>
      <c r="M2" s="113"/>
      <c r="N2" s="113"/>
      <c r="O2" s="109"/>
      <c r="P2" s="110"/>
      <c r="Q2" s="111"/>
      <c r="R2" s="111"/>
      <c r="S2" s="111"/>
      <c r="T2" s="111"/>
      <c r="U2" s="111"/>
      <c r="V2" s="111"/>
      <c r="W2" s="111"/>
      <c r="X2" s="111"/>
      <c r="Y2" s="111"/>
      <c r="Z2" s="111"/>
      <c r="AA2" s="111"/>
      <c r="AB2" s="111"/>
      <c r="AC2" s="111"/>
      <c r="AD2" s="112"/>
      <c r="AE2" s="109"/>
      <c r="AF2" s="109"/>
    </row>
    <row r="3" spans="1:32" ht="15.6">
      <c r="A3" s="114"/>
      <c r="B3" s="115"/>
      <c r="C3" s="115"/>
      <c r="D3" s="115"/>
      <c r="E3" s="115"/>
      <c r="F3" s="115"/>
      <c r="G3" s="115"/>
      <c r="H3" s="115"/>
      <c r="I3" s="115"/>
      <c r="J3" s="115"/>
      <c r="K3" s="115"/>
      <c r="L3" s="116"/>
      <c r="M3" s="117"/>
      <c r="N3" s="117"/>
      <c r="O3" s="115"/>
      <c r="P3" s="118"/>
      <c r="Q3" s="115"/>
      <c r="R3" s="115"/>
      <c r="S3" s="115"/>
      <c r="T3" s="109"/>
      <c r="U3" s="109"/>
      <c r="V3" s="109"/>
      <c r="W3" s="109"/>
      <c r="X3" s="109"/>
      <c r="Y3" s="109"/>
      <c r="Z3" s="109"/>
      <c r="AA3" s="109"/>
      <c r="AB3" s="109"/>
      <c r="AC3" s="109"/>
      <c r="AD3" s="119"/>
      <c r="AE3" s="109"/>
      <c r="AF3" s="109"/>
    </row>
    <row r="4" spans="1:32" ht="15.6">
      <c r="A4" s="120"/>
      <c r="B4" s="272" t="s">
        <v>27</v>
      </c>
      <c r="C4" s="244"/>
      <c r="D4" s="244"/>
      <c r="E4" s="244"/>
      <c r="F4" s="244"/>
      <c r="G4" s="244"/>
      <c r="H4" s="244"/>
      <c r="I4" s="244"/>
      <c r="J4" s="244"/>
      <c r="K4" s="244"/>
      <c r="L4" s="121"/>
      <c r="M4" s="196"/>
      <c r="N4" s="196"/>
      <c r="O4" s="195"/>
      <c r="P4" s="122"/>
      <c r="Q4" s="123" t="s">
        <v>28</v>
      </c>
      <c r="R4" s="123" t="s">
        <v>29</v>
      </c>
      <c r="S4" s="123" t="s">
        <v>30</v>
      </c>
      <c r="T4" s="123" t="s">
        <v>31</v>
      </c>
      <c r="U4" s="123" t="s">
        <v>32</v>
      </c>
      <c r="V4" s="123" t="s">
        <v>33</v>
      </c>
      <c r="W4" s="123" t="s">
        <v>34</v>
      </c>
      <c r="X4" s="123" t="s">
        <v>35</v>
      </c>
      <c r="Y4" s="123" t="s">
        <v>36</v>
      </c>
      <c r="Z4" s="123" t="s">
        <v>37</v>
      </c>
      <c r="AA4" s="123" t="s">
        <v>38</v>
      </c>
      <c r="AB4" s="123" t="s">
        <v>39</v>
      </c>
      <c r="AC4" s="123" t="s">
        <v>40</v>
      </c>
      <c r="AD4" s="119"/>
      <c r="AE4" s="109"/>
      <c r="AF4" s="109"/>
    </row>
    <row r="5" spans="1:32" ht="15.6">
      <c r="A5" s="120"/>
      <c r="B5" s="272" t="s">
        <v>41</v>
      </c>
      <c r="C5" s="244"/>
      <c r="D5" s="244"/>
      <c r="E5" s="244"/>
      <c r="F5" s="244"/>
      <c r="G5" s="244"/>
      <c r="H5" s="244"/>
      <c r="I5" s="244"/>
      <c r="J5" s="244"/>
      <c r="K5" s="244"/>
      <c r="L5" s="121"/>
      <c r="M5" s="196"/>
      <c r="N5" s="196"/>
      <c r="O5" s="109"/>
      <c r="P5" s="124"/>
      <c r="Q5" s="292" t="s">
        <v>42</v>
      </c>
      <c r="R5" s="290"/>
      <c r="S5" s="290"/>
      <c r="T5" s="290"/>
      <c r="U5" s="290"/>
      <c r="V5" s="290"/>
      <c r="W5" s="290"/>
      <c r="X5" s="290"/>
      <c r="Y5" s="290"/>
      <c r="Z5" s="290"/>
      <c r="AA5" s="290"/>
      <c r="AB5" s="290"/>
      <c r="AC5" s="303">
        <f>SUM(R5:AB6)</f>
        <v>0</v>
      </c>
      <c r="AD5" s="119"/>
      <c r="AE5" s="109"/>
      <c r="AF5" s="109"/>
    </row>
    <row r="6" spans="1:32" ht="15.6">
      <c r="A6" s="125"/>
      <c r="B6" s="109"/>
      <c r="C6" s="195"/>
      <c r="D6" s="195"/>
      <c r="E6" s="195"/>
      <c r="F6" s="195"/>
      <c r="G6" s="195"/>
      <c r="H6" s="195"/>
      <c r="I6" s="195"/>
      <c r="J6" s="195"/>
      <c r="K6" s="195"/>
      <c r="L6" s="119"/>
      <c r="M6" s="113"/>
      <c r="N6" s="113"/>
      <c r="O6" s="195"/>
      <c r="P6" s="122"/>
      <c r="Q6" s="293"/>
      <c r="R6" s="291"/>
      <c r="S6" s="291"/>
      <c r="T6" s="291"/>
      <c r="U6" s="291"/>
      <c r="V6" s="291"/>
      <c r="W6" s="291"/>
      <c r="X6" s="291"/>
      <c r="Y6" s="291"/>
      <c r="Z6" s="291"/>
      <c r="AA6" s="291"/>
      <c r="AB6" s="291"/>
      <c r="AC6" s="304"/>
      <c r="AD6" s="119"/>
      <c r="AE6" s="109"/>
      <c r="AF6" s="109"/>
    </row>
    <row r="7" spans="1:32" ht="15.6">
      <c r="A7" s="120"/>
      <c r="B7" s="272" t="s">
        <v>2</v>
      </c>
      <c r="C7" s="244"/>
      <c r="D7" s="244"/>
      <c r="E7" s="244"/>
      <c r="F7" s="244"/>
      <c r="G7" s="244"/>
      <c r="H7" s="244"/>
      <c r="I7" s="244"/>
      <c r="J7" s="244"/>
      <c r="K7" s="244"/>
      <c r="L7" s="121"/>
      <c r="M7" s="196"/>
      <c r="N7" s="196"/>
      <c r="O7" s="195"/>
      <c r="P7" s="122"/>
      <c r="Q7" s="292" t="s">
        <v>43</v>
      </c>
      <c r="R7" s="290"/>
      <c r="S7" s="290"/>
      <c r="T7" s="290"/>
      <c r="U7" s="290"/>
      <c r="V7" s="290"/>
      <c r="W7" s="290"/>
      <c r="X7" s="290"/>
      <c r="Y7" s="290"/>
      <c r="Z7" s="290"/>
      <c r="AA7" s="290"/>
      <c r="AB7" s="290"/>
      <c r="AC7" s="303">
        <f>SUM(R7:AB8)</f>
        <v>0</v>
      </c>
      <c r="AD7" s="119"/>
      <c r="AE7" s="109"/>
      <c r="AF7" s="109"/>
    </row>
    <row r="8" spans="1:32" ht="15.6">
      <c r="A8" s="126"/>
      <c r="B8" s="274" t="s">
        <v>314</v>
      </c>
      <c r="C8" s="244"/>
      <c r="D8" s="244"/>
      <c r="E8" s="244"/>
      <c r="F8" s="244"/>
      <c r="G8" s="244"/>
      <c r="H8" s="244"/>
      <c r="I8" s="244"/>
      <c r="J8" s="244"/>
      <c r="K8" s="244"/>
      <c r="L8" s="121"/>
      <c r="M8" s="196"/>
      <c r="N8" s="196"/>
      <c r="O8" s="195"/>
      <c r="P8" s="122"/>
      <c r="Q8" s="293"/>
      <c r="R8" s="291"/>
      <c r="S8" s="291"/>
      <c r="T8" s="291"/>
      <c r="U8" s="291"/>
      <c r="V8" s="291"/>
      <c r="W8" s="291"/>
      <c r="X8" s="291"/>
      <c r="Y8" s="291"/>
      <c r="Z8" s="291"/>
      <c r="AA8" s="291"/>
      <c r="AB8" s="291"/>
      <c r="AC8" s="304"/>
      <c r="AD8" s="119"/>
      <c r="AE8" s="109"/>
      <c r="AF8" s="109"/>
    </row>
    <row r="9" spans="1:32" ht="15.6">
      <c r="A9" s="120"/>
      <c r="B9" s="246" t="s">
        <v>313</v>
      </c>
      <c r="C9" s="246"/>
      <c r="D9" s="246"/>
      <c r="E9" s="246"/>
      <c r="F9" s="246"/>
      <c r="G9" s="246"/>
      <c r="H9" s="246"/>
      <c r="I9" s="246"/>
      <c r="J9" s="246"/>
      <c r="K9" s="246"/>
      <c r="L9" s="121"/>
      <c r="M9" s="196"/>
      <c r="N9" s="196"/>
      <c r="O9" s="195"/>
      <c r="P9" s="122"/>
      <c r="Q9" s="292" t="s">
        <v>44</v>
      </c>
      <c r="R9" s="290"/>
      <c r="S9" s="290"/>
      <c r="T9" s="290"/>
      <c r="U9" s="290"/>
      <c r="V9" s="290"/>
      <c r="W9" s="290"/>
      <c r="X9" s="290"/>
      <c r="Y9" s="290"/>
      <c r="Z9" s="290" t="str">
        <f t="shared" ref="S9:AB9" si="0">IF(Z7="","",ABS(Z5-Z7))</f>
        <v/>
      </c>
      <c r="AA9" s="290"/>
      <c r="AB9" s="290"/>
      <c r="AC9" s="303">
        <f t="shared" ref="AC9" si="1">ABS(AC5-AC7)</f>
        <v>0</v>
      </c>
      <c r="AD9" s="119"/>
      <c r="AE9" s="109"/>
      <c r="AF9" s="109"/>
    </row>
    <row r="10" spans="1:32" ht="15.6">
      <c r="A10" s="120"/>
      <c r="B10" s="246" t="s">
        <v>312</v>
      </c>
      <c r="C10" s="246"/>
      <c r="D10" s="246"/>
      <c r="E10" s="246"/>
      <c r="F10" s="246"/>
      <c r="G10" s="246"/>
      <c r="H10" s="246"/>
      <c r="I10" s="246"/>
      <c r="J10" s="246"/>
      <c r="K10" s="246"/>
      <c r="L10" s="121"/>
      <c r="M10" s="196"/>
      <c r="N10" s="196"/>
      <c r="O10" s="195"/>
      <c r="P10" s="122"/>
      <c r="Q10" s="293"/>
      <c r="R10" s="291"/>
      <c r="S10" s="291"/>
      <c r="T10" s="291"/>
      <c r="U10" s="291"/>
      <c r="V10" s="291"/>
      <c r="W10" s="291"/>
      <c r="X10" s="291"/>
      <c r="Y10" s="291"/>
      <c r="Z10" s="291"/>
      <c r="AA10" s="291"/>
      <c r="AB10" s="291"/>
      <c r="AC10" s="304"/>
      <c r="AD10" s="119"/>
      <c r="AE10" s="109"/>
      <c r="AF10" s="109"/>
    </row>
    <row r="11" spans="1:32" ht="4.2" customHeight="1">
      <c r="A11" s="120"/>
      <c r="B11" s="195"/>
      <c r="C11" s="195"/>
      <c r="D11" s="195"/>
      <c r="E11" s="195"/>
      <c r="F11" s="195"/>
      <c r="G11" s="195"/>
      <c r="H11" s="195"/>
      <c r="I11" s="195"/>
      <c r="J11" s="195"/>
      <c r="K11" s="195"/>
      <c r="L11" s="116"/>
      <c r="M11" s="117"/>
      <c r="N11" s="117"/>
      <c r="O11" s="115"/>
      <c r="P11" s="118"/>
      <c r="Q11" s="115"/>
      <c r="R11" s="115"/>
      <c r="S11" s="115"/>
      <c r="T11" s="109"/>
      <c r="U11" s="109"/>
      <c r="V11" s="109"/>
      <c r="W11" s="109"/>
      <c r="X11" s="109"/>
      <c r="Y11" s="109"/>
      <c r="Z11" s="109"/>
      <c r="AA11" s="109"/>
      <c r="AB11" s="109"/>
      <c r="AC11" s="109"/>
      <c r="AD11" s="119"/>
      <c r="AE11" s="109"/>
      <c r="AF11" s="109"/>
    </row>
    <row r="12" spans="1:32" ht="15.6">
      <c r="A12" s="125"/>
      <c r="B12" s="283" t="s">
        <v>311</v>
      </c>
      <c r="C12" s="284"/>
      <c r="D12" s="284"/>
      <c r="E12" s="284"/>
      <c r="F12" s="284"/>
      <c r="G12" s="284"/>
      <c r="H12" s="284"/>
      <c r="I12" s="284"/>
      <c r="J12" s="284"/>
      <c r="K12" s="284"/>
      <c r="L12" s="127"/>
      <c r="M12" s="128"/>
      <c r="N12" s="128"/>
      <c r="O12" s="129"/>
      <c r="P12" s="130"/>
      <c r="Q12" s="129"/>
      <c r="R12" s="195"/>
      <c r="S12" s="195"/>
      <c r="T12" s="109"/>
      <c r="U12" s="109"/>
      <c r="V12" s="109"/>
      <c r="W12" s="109"/>
      <c r="X12" s="109"/>
      <c r="Y12" s="109"/>
      <c r="Z12" s="109"/>
      <c r="AA12" s="109"/>
      <c r="AB12" s="109"/>
      <c r="AC12" s="109"/>
      <c r="AD12" s="119"/>
      <c r="AE12" s="109"/>
      <c r="AF12" s="109"/>
    </row>
    <row r="13" spans="1:32" ht="4.2" customHeight="1">
      <c r="A13" s="114"/>
      <c r="B13" s="115"/>
      <c r="C13" s="115"/>
      <c r="D13" s="115"/>
      <c r="E13" s="115"/>
      <c r="F13" s="115"/>
      <c r="G13" s="115"/>
      <c r="H13" s="115"/>
      <c r="I13" s="115"/>
      <c r="J13" s="115"/>
      <c r="K13" s="115"/>
      <c r="L13" s="116"/>
      <c r="M13" s="117"/>
      <c r="N13" s="117"/>
      <c r="O13" s="115"/>
      <c r="P13" s="118"/>
      <c r="Q13" s="115"/>
      <c r="R13" s="115"/>
      <c r="S13" s="115"/>
      <c r="T13" s="109"/>
      <c r="U13" s="109"/>
      <c r="V13" s="109"/>
      <c r="W13" s="109"/>
      <c r="X13" s="109"/>
      <c r="Y13" s="109"/>
      <c r="Z13" s="109"/>
      <c r="AA13" s="109"/>
      <c r="AB13" s="109"/>
      <c r="AC13" s="109"/>
      <c r="AD13" s="119"/>
      <c r="AE13" s="109"/>
      <c r="AF13" s="109"/>
    </row>
    <row r="14" spans="1:32" ht="15.6">
      <c r="A14" s="126"/>
      <c r="B14" s="274" t="s">
        <v>45</v>
      </c>
      <c r="C14" s="244"/>
      <c r="D14" s="244"/>
      <c r="E14" s="244"/>
      <c r="F14" s="244"/>
      <c r="G14" s="244"/>
      <c r="H14" s="244"/>
      <c r="I14" s="244"/>
      <c r="J14" s="244"/>
      <c r="K14" s="244"/>
      <c r="L14" s="131"/>
      <c r="M14" s="132"/>
      <c r="N14" s="132"/>
      <c r="O14" s="191"/>
      <c r="P14" s="133"/>
      <c r="Q14" s="274" t="s">
        <v>46</v>
      </c>
      <c r="R14" s="244"/>
      <c r="S14" s="244"/>
      <c r="T14" s="244"/>
      <c r="U14" s="244"/>
      <c r="V14" s="244"/>
      <c r="W14" s="244"/>
      <c r="X14" s="244"/>
      <c r="Y14" s="244"/>
      <c r="Z14" s="244"/>
      <c r="AA14" s="244"/>
      <c r="AB14" s="244"/>
      <c r="AC14" s="244"/>
      <c r="AD14" s="119"/>
      <c r="AE14" s="109"/>
      <c r="AF14" s="109"/>
    </row>
    <row r="15" spans="1:32" ht="15.6">
      <c r="A15" s="120"/>
      <c r="B15" s="246" t="s">
        <v>95</v>
      </c>
      <c r="C15" s="246"/>
      <c r="D15" s="246"/>
      <c r="E15" s="246"/>
      <c r="F15" s="246"/>
      <c r="G15" s="246"/>
      <c r="H15" s="246"/>
      <c r="I15" s="246"/>
      <c r="J15" s="246"/>
      <c r="K15" s="246"/>
      <c r="L15" s="127"/>
      <c r="M15" s="128"/>
      <c r="N15" s="128"/>
      <c r="O15" s="195"/>
      <c r="P15" s="122"/>
      <c r="Q15" s="294" t="s">
        <v>47</v>
      </c>
      <c r="R15" s="295"/>
      <c r="S15" s="295"/>
      <c r="T15" s="295"/>
      <c r="U15" s="295"/>
      <c r="V15" s="295"/>
      <c r="W15" s="295"/>
      <c r="X15" s="295"/>
      <c r="Y15" s="295"/>
      <c r="Z15" s="295"/>
      <c r="AA15" s="295"/>
      <c r="AB15" s="295"/>
      <c r="AC15" s="296"/>
      <c r="AD15" s="119"/>
      <c r="AE15" s="109"/>
      <c r="AF15" s="109"/>
    </row>
    <row r="16" spans="1:32" ht="15.6">
      <c r="A16" s="114"/>
      <c r="B16" s="115"/>
      <c r="C16" s="115"/>
      <c r="D16" s="115"/>
      <c r="E16" s="115"/>
      <c r="F16" s="115"/>
      <c r="G16" s="115"/>
      <c r="H16" s="115"/>
      <c r="I16" s="115"/>
      <c r="J16" s="115"/>
      <c r="K16" s="115"/>
      <c r="L16" s="116"/>
      <c r="M16" s="117"/>
      <c r="N16" s="117"/>
      <c r="O16" s="195"/>
      <c r="P16" s="122"/>
      <c r="Q16" s="297"/>
      <c r="R16" s="244"/>
      <c r="S16" s="244"/>
      <c r="T16" s="244"/>
      <c r="U16" s="244"/>
      <c r="V16" s="244"/>
      <c r="W16" s="244"/>
      <c r="X16" s="244"/>
      <c r="Y16" s="244"/>
      <c r="Z16" s="244"/>
      <c r="AA16" s="244"/>
      <c r="AB16" s="244"/>
      <c r="AC16" s="298"/>
      <c r="AD16" s="119"/>
      <c r="AE16" s="109"/>
      <c r="AF16" s="109"/>
    </row>
    <row r="17" spans="1:32" ht="15.6">
      <c r="A17" s="134"/>
      <c r="B17" s="129" t="s">
        <v>48</v>
      </c>
      <c r="C17" s="279" t="s">
        <v>231</v>
      </c>
      <c r="D17" s="280"/>
      <c r="E17" s="281"/>
      <c r="F17" s="281"/>
      <c r="G17" s="281"/>
      <c r="H17" s="135" t="s">
        <v>96</v>
      </c>
      <c r="I17" s="37" t="str">
        <f>IF(C17="","",VLOOKUP(C17,'TERM 1 SUMMARY'!C16:R116,7,0))</f>
        <v/>
      </c>
      <c r="J17" s="129" t="s">
        <v>49</v>
      </c>
      <c r="K17" s="37" t="str">
        <f>IF(C17="","",VLOOKUP(C17,'TERM 1 SUMMARY'!C16:R116,8,0))</f>
        <v/>
      </c>
      <c r="L17" s="136"/>
      <c r="M17" s="137"/>
      <c r="N17" s="137"/>
      <c r="O17" s="195"/>
      <c r="P17" s="122"/>
      <c r="Q17" s="297"/>
      <c r="R17" s="244"/>
      <c r="S17" s="244"/>
      <c r="T17" s="244"/>
      <c r="U17" s="244"/>
      <c r="V17" s="244"/>
      <c r="W17" s="244"/>
      <c r="X17" s="244"/>
      <c r="Y17" s="244"/>
      <c r="Z17" s="244"/>
      <c r="AA17" s="244"/>
      <c r="AB17" s="244"/>
      <c r="AC17" s="298"/>
      <c r="AD17" s="119"/>
      <c r="AE17" s="109"/>
      <c r="AF17" s="109"/>
    </row>
    <row r="18" spans="1:32" ht="15.6">
      <c r="A18" s="134"/>
      <c r="B18" s="129" t="s">
        <v>50</v>
      </c>
      <c r="C18" s="278" t="str">
        <f>IF(C17="","",VLOOKUP(C17,'TERM 1 SUMMARY'!C16:R116,4,0))</f>
        <v/>
      </c>
      <c r="D18" s="278"/>
      <c r="E18" s="278"/>
      <c r="F18" s="138"/>
      <c r="G18" s="139"/>
      <c r="H18" s="140" t="s">
        <v>97</v>
      </c>
      <c r="I18" s="37" t="str">
        <f>IF('INPUT DATA'!F27="","",'INPUT DATA'!F27)</f>
        <v/>
      </c>
      <c r="J18" s="129" t="s">
        <v>51</v>
      </c>
      <c r="K18" s="37" t="str">
        <f>IF('INPUT DATA'!F29="","",'INPUT DATA'!F29)</f>
        <v/>
      </c>
      <c r="L18" s="119"/>
      <c r="M18" s="113"/>
      <c r="N18" s="113"/>
      <c r="O18" s="195"/>
      <c r="P18" s="122"/>
      <c r="Q18" s="299"/>
      <c r="R18" s="300"/>
      <c r="S18" s="300"/>
      <c r="T18" s="300"/>
      <c r="U18" s="300"/>
      <c r="V18" s="300"/>
      <c r="W18" s="300"/>
      <c r="X18" s="300"/>
      <c r="Y18" s="300"/>
      <c r="Z18" s="300"/>
      <c r="AA18" s="300"/>
      <c r="AB18" s="300"/>
      <c r="AC18" s="301"/>
      <c r="AD18" s="119"/>
      <c r="AE18" s="109"/>
      <c r="AF18" s="109"/>
    </row>
    <row r="19" spans="1:32" ht="15.6">
      <c r="A19" s="114"/>
      <c r="B19" s="115" t="s">
        <v>52</v>
      </c>
      <c r="C19" s="115"/>
      <c r="D19" s="115"/>
      <c r="E19" s="305" t="str">
        <f>IF('INPUT DATA'!F28="","",'INPUT DATA'!F28)</f>
        <v/>
      </c>
      <c r="F19" s="305"/>
      <c r="G19" s="109"/>
      <c r="H19" s="109"/>
      <c r="I19" s="109"/>
      <c r="J19" s="109"/>
      <c r="K19" s="109"/>
      <c r="L19" s="119"/>
      <c r="M19" s="113"/>
      <c r="N19" s="113"/>
      <c r="O19" s="115"/>
      <c r="P19" s="118"/>
      <c r="Q19" s="294" t="s">
        <v>53</v>
      </c>
      <c r="R19" s="295"/>
      <c r="S19" s="295"/>
      <c r="T19" s="295"/>
      <c r="U19" s="295"/>
      <c r="V19" s="295"/>
      <c r="W19" s="295"/>
      <c r="X19" s="295"/>
      <c r="Y19" s="295"/>
      <c r="Z19" s="295"/>
      <c r="AA19" s="295"/>
      <c r="AB19" s="295"/>
      <c r="AC19" s="296"/>
      <c r="AD19" s="119"/>
      <c r="AE19" s="109"/>
      <c r="AF19" s="109"/>
    </row>
    <row r="20" spans="1:32" ht="15.6">
      <c r="A20" s="114"/>
      <c r="B20" s="115"/>
      <c r="C20" s="115"/>
      <c r="D20" s="115"/>
      <c r="E20" s="115"/>
      <c r="F20" s="115"/>
      <c r="G20" s="115"/>
      <c r="H20" s="115"/>
      <c r="I20" s="115"/>
      <c r="J20" s="115"/>
      <c r="K20" s="115"/>
      <c r="L20" s="116"/>
      <c r="M20" s="117"/>
      <c r="N20" s="117"/>
      <c r="O20" s="115"/>
      <c r="P20" s="118"/>
      <c r="Q20" s="297"/>
      <c r="R20" s="244"/>
      <c r="S20" s="244"/>
      <c r="T20" s="244"/>
      <c r="U20" s="244"/>
      <c r="V20" s="244"/>
      <c r="W20" s="244"/>
      <c r="X20" s="244"/>
      <c r="Y20" s="244"/>
      <c r="Z20" s="244"/>
      <c r="AA20" s="244"/>
      <c r="AB20" s="244"/>
      <c r="AC20" s="298"/>
      <c r="AD20" s="119"/>
      <c r="AE20" s="109"/>
      <c r="AF20" s="109"/>
    </row>
    <row r="21" spans="1:32" ht="15.6">
      <c r="A21" s="141"/>
      <c r="B21" s="282" t="s">
        <v>54</v>
      </c>
      <c r="C21" s="244"/>
      <c r="E21" s="198"/>
      <c r="F21" s="198"/>
      <c r="G21" s="198"/>
      <c r="H21" s="198"/>
      <c r="I21" s="198"/>
      <c r="J21" s="198"/>
      <c r="K21" s="198"/>
      <c r="L21" s="142"/>
      <c r="M21" s="143"/>
      <c r="N21" s="143"/>
      <c r="O21" s="198"/>
      <c r="P21" s="144"/>
      <c r="Q21" s="297"/>
      <c r="R21" s="244"/>
      <c r="S21" s="244"/>
      <c r="T21" s="244"/>
      <c r="U21" s="244"/>
      <c r="V21" s="244"/>
      <c r="W21" s="244"/>
      <c r="X21" s="244"/>
      <c r="Y21" s="244"/>
      <c r="Z21" s="244"/>
      <c r="AA21" s="244"/>
      <c r="AB21" s="244"/>
      <c r="AC21" s="298"/>
      <c r="AD21" s="119"/>
      <c r="AE21" s="109"/>
      <c r="AF21" s="109"/>
    </row>
    <row r="22" spans="1:32" ht="15.6">
      <c r="A22" s="114"/>
      <c r="B22" s="115"/>
      <c r="C22" s="115" t="s">
        <v>55</v>
      </c>
      <c r="D22" s="115"/>
      <c r="E22" s="115"/>
      <c r="F22" s="115"/>
      <c r="G22" s="115"/>
      <c r="H22" s="115"/>
      <c r="I22" s="115"/>
      <c r="J22" s="115"/>
      <c r="K22" s="115"/>
      <c r="L22" s="116"/>
      <c r="M22" s="117"/>
      <c r="N22" s="117"/>
      <c r="O22" s="115"/>
      <c r="P22" s="118"/>
      <c r="Q22" s="299"/>
      <c r="R22" s="300"/>
      <c r="S22" s="300"/>
      <c r="T22" s="300"/>
      <c r="U22" s="300"/>
      <c r="V22" s="300"/>
      <c r="W22" s="300"/>
      <c r="X22" s="300"/>
      <c r="Y22" s="300"/>
      <c r="Z22" s="300"/>
      <c r="AA22" s="300"/>
      <c r="AB22" s="300"/>
      <c r="AC22" s="301"/>
      <c r="AD22" s="119"/>
      <c r="AE22" s="109"/>
      <c r="AF22" s="109"/>
    </row>
    <row r="23" spans="1:32" ht="15.6">
      <c r="A23" s="114"/>
      <c r="B23" s="115" t="s">
        <v>56</v>
      </c>
      <c r="F23" s="115"/>
      <c r="G23" s="115"/>
      <c r="H23" s="115"/>
      <c r="I23" s="115"/>
      <c r="J23" s="115"/>
      <c r="K23" s="115"/>
      <c r="L23" s="116"/>
      <c r="M23" s="117"/>
      <c r="N23" s="117"/>
      <c r="O23" s="115"/>
      <c r="P23" s="118"/>
      <c r="Q23" s="294" t="s">
        <v>57</v>
      </c>
      <c r="R23" s="295"/>
      <c r="S23" s="295"/>
      <c r="T23" s="295"/>
      <c r="U23" s="295"/>
      <c r="V23" s="295"/>
      <c r="W23" s="295"/>
      <c r="X23" s="295"/>
      <c r="Y23" s="295"/>
      <c r="Z23" s="295"/>
      <c r="AA23" s="295"/>
      <c r="AB23" s="295"/>
      <c r="AC23" s="296"/>
      <c r="AD23" s="119"/>
      <c r="AE23" s="109"/>
      <c r="AF23" s="109"/>
    </row>
    <row r="24" spans="1:32" ht="15.6">
      <c r="A24" s="114"/>
      <c r="B24" s="115"/>
      <c r="C24" s="115" t="s">
        <v>58</v>
      </c>
      <c r="D24" s="115"/>
      <c r="E24" s="115"/>
      <c r="F24" s="115"/>
      <c r="G24" s="115"/>
      <c r="H24" s="115"/>
      <c r="I24" s="115"/>
      <c r="J24" s="115"/>
      <c r="K24" s="115"/>
      <c r="L24" s="116"/>
      <c r="M24" s="117"/>
      <c r="N24" s="117"/>
      <c r="O24" s="115"/>
      <c r="P24" s="118"/>
      <c r="Q24" s="297"/>
      <c r="R24" s="244"/>
      <c r="S24" s="244"/>
      <c r="T24" s="244"/>
      <c r="U24" s="244"/>
      <c r="V24" s="244"/>
      <c r="W24" s="244"/>
      <c r="X24" s="244"/>
      <c r="Y24" s="244"/>
      <c r="Z24" s="244"/>
      <c r="AA24" s="244"/>
      <c r="AB24" s="244"/>
      <c r="AC24" s="298"/>
      <c r="AD24" s="119"/>
      <c r="AE24" s="109"/>
      <c r="AF24" s="109"/>
    </row>
    <row r="25" spans="1:32" ht="15.6">
      <c r="A25" s="114"/>
      <c r="B25" s="115" t="s">
        <v>59</v>
      </c>
      <c r="C25" s="115"/>
      <c r="D25" s="115"/>
      <c r="E25" s="115"/>
      <c r="F25" s="115"/>
      <c r="G25" s="115"/>
      <c r="H25" s="115"/>
      <c r="I25" s="115"/>
      <c r="J25" s="115"/>
      <c r="K25" s="115"/>
      <c r="L25" s="116"/>
      <c r="M25" s="117"/>
      <c r="N25" s="117"/>
      <c r="O25" s="115"/>
      <c r="P25" s="118"/>
      <c r="Q25" s="297"/>
      <c r="R25" s="244"/>
      <c r="S25" s="244"/>
      <c r="T25" s="244"/>
      <c r="U25" s="244"/>
      <c r="V25" s="244"/>
      <c r="W25" s="244"/>
      <c r="X25" s="244"/>
      <c r="Y25" s="244"/>
      <c r="Z25" s="244"/>
      <c r="AA25" s="244"/>
      <c r="AB25" s="244"/>
      <c r="AC25" s="298"/>
      <c r="AD25" s="119"/>
      <c r="AE25" s="109"/>
      <c r="AF25" s="109"/>
    </row>
    <row r="26" spans="1:32" ht="15">
      <c r="A26" s="125"/>
      <c r="B26" s="109"/>
      <c r="C26" s="109"/>
      <c r="D26" s="109"/>
      <c r="E26" s="109"/>
      <c r="F26" s="109"/>
      <c r="G26" s="109"/>
      <c r="H26" s="109"/>
      <c r="I26" s="109"/>
      <c r="J26" s="109"/>
      <c r="K26" s="109"/>
      <c r="L26" s="119"/>
      <c r="M26" s="113"/>
      <c r="N26" s="113"/>
      <c r="O26" s="109"/>
      <c r="P26" s="124"/>
      <c r="Q26" s="299"/>
      <c r="R26" s="300"/>
      <c r="S26" s="300"/>
      <c r="T26" s="300"/>
      <c r="U26" s="300"/>
      <c r="V26" s="300"/>
      <c r="W26" s="300"/>
      <c r="X26" s="300"/>
      <c r="Y26" s="300"/>
      <c r="Z26" s="300"/>
      <c r="AA26" s="300"/>
      <c r="AB26" s="300"/>
      <c r="AC26" s="301"/>
      <c r="AD26" s="119"/>
      <c r="AE26" s="109"/>
      <c r="AF26" s="109"/>
    </row>
    <row r="27" spans="1:32" ht="15.6">
      <c r="A27" s="126"/>
      <c r="B27" s="249" t="str">
        <f>IF('INPUT DATA'!F19="","",'INPUT DATA'!F19)</f>
        <v/>
      </c>
      <c r="C27" s="249"/>
      <c r="D27" s="249"/>
      <c r="E27" s="249"/>
      <c r="F27" s="249"/>
      <c r="H27" s="251" t="str">
        <f>IF('INPUT DATA'!F26="","",'INPUT DATA'!F26)</f>
        <v/>
      </c>
      <c r="I27" s="251"/>
      <c r="J27" s="251"/>
      <c r="K27" s="251"/>
      <c r="L27" s="131"/>
      <c r="M27" s="132"/>
      <c r="N27" s="132"/>
      <c r="O27" s="191"/>
      <c r="P27" s="133"/>
      <c r="AD27" s="119"/>
      <c r="AE27" s="109"/>
      <c r="AF27" s="109"/>
    </row>
    <row r="28" spans="1:32" ht="15.6">
      <c r="A28" s="125"/>
      <c r="B28" s="306" t="s">
        <v>1</v>
      </c>
      <c r="C28" s="306"/>
      <c r="D28" s="306"/>
      <c r="E28" s="306"/>
      <c r="F28" s="306"/>
      <c r="G28" s="145"/>
      <c r="H28" s="306" t="s">
        <v>3</v>
      </c>
      <c r="I28" s="306"/>
      <c r="J28" s="306"/>
      <c r="K28" s="306"/>
      <c r="L28" s="119"/>
      <c r="M28" s="113"/>
      <c r="N28" s="113"/>
      <c r="O28" s="109"/>
      <c r="P28" s="124"/>
      <c r="Q28" s="191"/>
      <c r="R28" s="191"/>
      <c r="S28" s="109"/>
      <c r="T28" s="109"/>
      <c r="U28" s="109"/>
      <c r="V28" s="109"/>
      <c r="W28" s="109"/>
      <c r="X28" s="109"/>
      <c r="Y28" s="109"/>
      <c r="Z28" s="109"/>
      <c r="AA28" s="109"/>
      <c r="AB28" s="109"/>
      <c r="AC28" s="109"/>
      <c r="AD28" s="119"/>
      <c r="AE28" s="109"/>
      <c r="AF28" s="109"/>
    </row>
    <row r="29" spans="1:32" ht="25.5" customHeight="1">
      <c r="A29" s="146"/>
      <c r="B29" s="313" t="s">
        <v>60</v>
      </c>
      <c r="C29" s="313"/>
      <c r="D29" s="313"/>
      <c r="E29" s="313"/>
      <c r="F29" s="313"/>
      <c r="G29" s="313"/>
      <c r="H29" s="313"/>
      <c r="I29" s="313"/>
      <c r="J29" s="313"/>
      <c r="K29" s="313"/>
      <c r="L29" s="147"/>
      <c r="M29" s="194"/>
      <c r="N29" s="194"/>
      <c r="O29" s="193"/>
      <c r="P29" s="148"/>
      <c r="Q29" s="243" t="s">
        <v>61</v>
      </c>
      <c r="R29" s="244"/>
      <c r="S29" s="244"/>
      <c r="T29" s="244"/>
      <c r="U29" s="244"/>
      <c r="V29" s="244"/>
      <c r="W29" s="244"/>
      <c r="X29" s="244"/>
      <c r="Y29" s="244"/>
      <c r="Z29" s="244"/>
      <c r="AA29" s="244"/>
      <c r="AB29" s="244"/>
      <c r="AC29" s="244"/>
      <c r="AD29" s="119"/>
      <c r="AE29" s="109"/>
      <c r="AF29" s="109"/>
    </row>
    <row r="30" spans="1:32" ht="25.5" customHeight="1">
      <c r="A30" s="146"/>
      <c r="B30" s="288" t="s">
        <v>23</v>
      </c>
      <c r="C30" s="288"/>
      <c r="D30" s="288"/>
      <c r="E30" s="288"/>
      <c r="F30" s="288" t="s">
        <v>62</v>
      </c>
      <c r="G30" s="288"/>
      <c r="H30" s="288"/>
      <c r="I30" s="302" t="s">
        <v>224</v>
      </c>
      <c r="J30" s="270" t="s">
        <v>24</v>
      </c>
      <c r="K30" s="268" t="s">
        <v>63</v>
      </c>
      <c r="L30" s="147"/>
      <c r="M30" s="194"/>
      <c r="N30" s="194"/>
      <c r="O30" s="193"/>
      <c r="P30" s="148"/>
      <c r="Q30" s="115"/>
      <c r="R30" s="242" t="s">
        <v>47</v>
      </c>
      <c r="S30" s="244"/>
      <c r="T30" s="149"/>
      <c r="U30" s="149"/>
      <c r="V30" s="149"/>
      <c r="W30" s="149"/>
      <c r="X30" s="149"/>
      <c r="Y30" s="149"/>
      <c r="Z30" s="149"/>
      <c r="AA30" s="149"/>
      <c r="AB30" s="149"/>
      <c r="AC30" s="109"/>
      <c r="AD30" s="119"/>
      <c r="AE30" s="109"/>
      <c r="AF30" s="109"/>
    </row>
    <row r="31" spans="1:32" ht="25.5" customHeight="1">
      <c r="A31" s="141"/>
      <c r="B31" s="288"/>
      <c r="C31" s="288"/>
      <c r="D31" s="288"/>
      <c r="E31" s="288"/>
      <c r="F31" s="199" t="s">
        <v>64</v>
      </c>
      <c r="G31" s="199" t="s">
        <v>65</v>
      </c>
      <c r="H31" s="199" t="s">
        <v>66</v>
      </c>
      <c r="I31" s="302"/>
      <c r="J31" s="271"/>
      <c r="K31" s="269"/>
      <c r="L31" s="116"/>
      <c r="M31" s="117"/>
      <c r="N31" s="117"/>
      <c r="O31" s="115"/>
      <c r="P31" s="118"/>
      <c r="Q31" s="115"/>
      <c r="R31" s="242" t="s">
        <v>53</v>
      </c>
      <c r="S31" s="242"/>
      <c r="T31" s="149"/>
      <c r="U31" s="149"/>
      <c r="V31" s="149"/>
      <c r="W31" s="149"/>
      <c r="X31" s="149"/>
      <c r="Y31" s="149"/>
      <c r="Z31" s="149"/>
      <c r="AA31" s="149"/>
      <c r="AB31" s="149"/>
      <c r="AC31" s="109"/>
      <c r="AD31" s="119"/>
      <c r="AE31" s="109"/>
      <c r="AF31" s="109"/>
    </row>
    <row r="32" spans="1:32" ht="25.5" customHeight="1">
      <c r="A32" s="150"/>
      <c r="B32" s="314" t="s">
        <v>102</v>
      </c>
      <c r="C32" s="315"/>
      <c r="D32" s="315"/>
      <c r="E32" s="315"/>
      <c r="F32" s="315"/>
      <c r="G32" s="315"/>
      <c r="H32" s="315"/>
      <c r="I32" s="315"/>
      <c r="J32" s="315"/>
      <c r="K32" s="316"/>
      <c r="L32" s="116"/>
      <c r="M32" s="117"/>
      <c r="N32" s="117"/>
      <c r="O32" s="115"/>
      <c r="P32" s="118"/>
      <c r="Q32" s="115"/>
      <c r="R32" s="242" t="s">
        <v>57</v>
      </c>
      <c r="S32" s="242"/>
      <c r="T32" s="149"/>
      <c r="U32" s="149"/>
      <c r="V32" s="149"/>
      <c r="W32" s="149"/>
      <c r="X32" s="149"/>
      <c r="Y32" s="149"/>
      <c r="Z32" s="149"/>
      <c r="AA32" s="149"/>
      <c r="AB32" s="149"/>
      <c r="AC32" s="109"/>
      <c r="AD32" s="119"/>
      <c r="AE32" s="109"/>
      <c r="AF32" s="109"/>
    </row>
    <row r="33" spans="1:32" ht="31.8" customHeight="1">
      <c r="A33" s="150"/>
      <c r="B33" s="285" t="s">
        <v>295</v>
      </c>
      <c r="C33" s="286"/>
      <c r="D33" s="286"/>
      <c r="E33" s="287"/>
      <c r="F33" s="43" t="str">
        <f>IF('TERM 1 SUMMARY'!K16="","",VLOOKUP(C17,'TERM 1 SUMMARY'!C16:R116,9,0))</f>
        <v/>
      </c>
      <c r="G33" s="464" t="str">
        <f>IF('TERM 2 SUMMARY'!K16="","",VLOOKUP(C17,'TERM 2 SUMMARY'!C16:R116,11,0))</f>
        <v/>
      </c>
      <c r="H33" s="464" t="str">
        <f>IF('TERM 3 SUMMARY'!K16="","",VLOOKUP(C17,'TERM 3 SUMMARY'!C16:R116,11,0))</f>
        <v/>
      </c>
      <c r="I33" s="90"/>
      <c r="J33" s="43" t="str">
        <f>IF(SUM(F33:H33)=0, "", ROUND((F33+H33+G33)*(I33/3)/I33,0))</f>
        <v/>
      </c>
      <c r="K33" s="43" t="str">
        <f>IF(J33="", "", IF(J33&gt;=75, "Passed", "Failed"))</f>
        <v/>
      </c>
      <c r="L33" s="166" t="e">
        <f>J33*I33</f>
        <v>#VALUE!</v>
      </c>
      <c r="M33" s="117"/>
      <c r="N33" s="117"/>
      <c r="O33" s="115"/>
      <c r="P33" s="118"/>
      <c r="Q33" s="115"/>
      <c r="AC33" s="109"/>
      <c r="AD33" s="119"/>
      <c r="AE33" s="109"/>
      <c r="AF33" s="109"/>
    </row>
    <row r="34" spans="1:32" ht="25.5" customHeight="1">
      <c r="A34" s="150"/>
      <c r="B34" s="310" t="s">
        <v>296</v>
      </c>
      <c r="C34" s="311"/>
      <c r="D34" s="311"/>
      <c r="E34" s="312"/>
      <c r="F34" s="43" t="str">
        <f>IF('TERM 1 SUMMARY'!K16="","",VLOOKUP(C17,'TERM 1 SUMMARY'!C16:R116,10,0))</f>
        <v/>
      </c>
      <c r="G34" s="464" t="str">
        <f>IF('TERM 2 SUMMARY'!K16="","",VLOOKUP(C17,'TERM 2 SUMMARY'!C16:R116,11,0))</f>
        <v/>
      </c>
      <c r="H34" s="464" t="str">
        <f>IF('TERM 3 SUMMARY'!K16="","",VLOOKUP(C17,'TERM 3 SUMMARY'!C16:R116,11,0))</f>
        <v/>
      </c>
      <c r="I34" s="90"/>
      <c r="J34" s="151"/>
      <c r="K34" s="151"/>
      <c r="L34" s="168"/>
      <c r="M34" s="117"/>
      <c r="N34" s="117"/>
      <c r="O34" s="115"/>
      <c r="P34" s="118"/>
      <c r="Q34" s="248"/>
      <c r="R34" s="248"/>
      <c r="S34" s="248"/>
      <c r="T34" s="248"/>
      <c r="U34" s="248"/>
      <c r="V34" s="248"/>
      <c r="W34" s="248"/>
      <c r="X34" s="248"/>
      <c r="Y34" s="248"/>
      <c r="Z34" s="248"/>
      <c r="AA34" s="248"/>
      <c r="AB34" s="248"/>
      <c r="AC34" s="248"/>
      <c r="AD34" s="119"/>
      <c r="AE34" s="109"/>
      <c r="AF34" s="109"/>
    </row>
    <row r="35" spans="1:32" ht="25.5" customHeight="1">
      <c r="A35" s="150"/>
      <c r="B35" s="310" t="s">
        <v>297</v>
      </c>
      <c r="C35" s="311"/>
      <c r="D35" s="311"/>
      <c r="E35" s="312"/>
      <c r="F35" s="464" t="str">
        <f>IF('TERM 1 SUMMARY'!K16="","",VLOOKUP(C17,'TERM 1 SUMMARY'!C16:R116,11,0))</f>
        <v/>
      </c>
      <c r="G35" s="43" t="str">
        <f>IF('TERM 2 SUMMARY'!K16="","",VLOOKUP(C17,'TERM 2 SUMMARY'!C16:R116,10,0))</f>
        <v/>
      </c>
      <c r="H35" s="464" t="str">
        <f>IF('TERM 3 SUMMARY'!K16="","",VLOOKUP(C17,'TERM 3 SUMMARY'!C16:R116,10,0))</f>
        <v/>
      </c>
      <c r="I35" s="90"/>
      <c r="J35" s="151"/>
      <c r="K35" s="151"/>
      <c r="L35" s="168"/>
      <c r="M35" s="117"/>
      <c r="N35" s="117"/>
      <c r="O35" s="115"/>
      <c r="P35" s="118"/>
      <c r="Q35" s="243" t="s">
        <v>67</v>
      </c>
      <c r="R35" s="244"/>
      <c r="S35" s="244"/>
      <c r="T35" s="244"/>
      <c r="U35" s="244"/>
      <c r="V35" s="244"/>
      <c r="W35" s="244"/>
      <c r="X35" s="244"/>
      <c r="Y35" s="244"/>
      <c r="Z35" s="244"/>
      <c r="AA35" s="244"/>
      <c r="AB35" s="244"/>
      <c r="AC35" s="244"/>
      <c r="AD35" s="119"/>
      <c r="AE35" s="42" t="str">
        <f>IF(COUNT(F31:H31)=0,"",ROUND((F31+G31+H31)/3,0))</f>
        <v/>
      </c>
      <c r="AF35" s="109"/>
    </row>
    <row r="36" spans="1:32" ht="25.5" customHeight="1">
      <c r="A36" s="150"/>
      <c r="B36" s="307" t="s">
        <v>298</v>
      </c>
      <c r="C36" s="308"/>
      <c r="D36" s="308"/>
      <c r="E36" s="309"/>
      <c r="F36" s="464" t="str">
        <f>IF('TERM 1 SUMMARY'!K16="","",VLOOKUP(C17,'TERM 1 SUMMARY'!C16:R116,12,0))</f>
        <v/>
      </c>
      <c r="G36" s="43" t="str">
        <f>IF('TERM 2 SUMMARY'!K16="","",VLOOKUP(C17,'TERM 2 SUMMARY'!C16:R116,12,0))</f>
        <v/>
      </c>
      <c r="H36" s="465" t="str">
        <f>IF('TERM 3 SUMMARY'!K16="","",VLOOKUP(C17,'TERM 3 SUMMARY'!C16:R116,12,0))</f>
        <v/>
      </c>
      <c r="I36" s="90"/>
      <c r="J36" s="43" t="str">
        <f>IF(SUM(F36:H36)=0, "", ROUND((F36+H36+G36)*(I36/3)/I36,0))</f>
        <v/>
      </c>
      <c r="K36" s="43" t="str">
        <f>IF(J36="", "", IF(J36&gt;=75, "Passed", "Failed"))</f>
        <v/>
      </c>
      <c r="L36" s="166" t="e">
        <f>J36*I36</f>
        <v>#VALUE!</v>
      </c>
      <c r="M36" s="117"/>
      <c r="N36" s="117"/>
      <c r="O36" s="115"/>
      <c r="P36" s="118"/>
      <c r="Q36" s="115" t="s">
        <v>68</v>
      </c>
      <c r="R36" s="115"/>
      <c r="S36" s="115"/>
      <c r="T36" s="115"/>
      <c r="U36" s="115"/>
      <c r="V36" s="115"/>
      <c r="W36" s="115"/>
      <c r="X36" s="115"/>
      <c r="Y36" s="115"/>
      <c r="Z36" s="115"/>
      <c r="AA36" s="115"/>
      <c r="AB36" s="115"/>
      <c r="AC36" s="115"/>
      <c r="AD36" s="119"/>
      <c r="AE36" s="109"/>
      <c r="AF36" s="109"/>
    </row>
    <row r="37" spans="1:32" ht="25.5" customHeight="1">
      <c r="A37" s="150"/>
      <c r="B37" s="285" t="s">
        <v>299</v>
      </c>
      <c r="C37" s="286"/>
      <c r="D37" s="286"/>
      <c r="E37" s="287"/>
      <c r="F37" s="464" t="str">
        <f>IF('TERM 1 SUMMARY'!K16="","",VLOOKUP(C17,'TERM 1 SUMMARY'!C16:R116,13,0))</f>
        <v/>
      </c>
      <c r="G37" s="464" t="str">
        <f>IF('TERM 2 SUMMARY'!K16="","",VLOOKUP(C17,'TERM 2 SUMMARY'!C16:R116,13,0))</f>
        <v/>
      </c>
      <c r="H37" s="43" t="str">
        <f>IF('TERM 3 SUMMARY'!K16="","",VLOOKUP(C17,'TERM 3 SUMMARY'!C16:R116,13,0))</f>
        <v/>
      </c>
      <c r="I37" s="90"/>
      <c r="J37" s="43" t="str">
        <f>IF(SUM(F37:H37)=0, "", ROUND((F37+H37+G37)*(I37/3)/I37,0))</f>
        <v/>
      </c>
      <c r="K37" s="43" t="str">
        <f>IF(J37="", "", IF(J37&gt;=75, "Passed", "Failed"))</f>
        <v/>
      </c>
      <c r="L37" s="166" t="e">
        <f>J37*I37</f>
        <v>#VALUE!</v>
      </c>
      <c r="M37" s="117"/>
      <c r="N37" s="117"/>
      <c r="O37" s="115"/>
      <c r="P37" s="118"/>
      <c r="Q37" s="115" t="s">
        <v>69</v>
      </c>
      <c r="R37" s="115"/>
      <c r="S37" s="115"/>
      <c r="T37" s="115"/>
      <c r="U37" s="115"/>
      <c r="V37" s="115"/>
      <c r="W37" s="115"/>
      <c r="X37" s="115"/>
      <c r="Y37" s="115"/>
      <c r="Z37" s="115"/>
      <c r="AA37" s="115"/>
      <c r="AB37" s="115"/>
      <c r="AC37" s="115"/>
      <c r="AD37" s="119"/>
      <c r="AE37" s="109"/>
      <c r="AF37" s="109"/>
    </row>
    <row r="38" spans="1:32" ht="25.5" customHeight="1">
      <c r="A38" s="150"/>
      <c r="B38" s="258" t="s">
        <v>300</v>
      </c>
      <c r="C38" s="259"/>
      <c r="D38" s="259"/>
      <c r="E38" s="260"/>
      <c r="F38" s="464"/>
      <c r="G38" s="464"/>
      <c r="H38" s="43"/>
      <c r="I38" s="90"/>
      <c r="J38" s="43"/>
      <c r="K38" s="43"/>
      <c r="L38" s="240"/>
      <c r="M38" s="117"/>
      <c r="N38" s="117"/>
      <c r="O38" s="115"/>
      <c r="P38" s="114"/>
      <c r="Q38" s="115"/>
      <c r="R38" s="115"/>
      <c r="S38" s="117"/>
      <c r="T38" s="117"/>
      <c r="U38" s="115"/>
      <c r="V38" s="115"/>
      <c r="W38" s="115"/>
      <c r="X38" s="115"/>
      <c r="Y38" s="115"/>
      <c r="Z38" s="115"/>
      <c r="AA38" s="115"/>
      <c r="AB38" s="115"/>
      <c r="AC38" s="115"/>
      <c r="AD38" s="157"/>
      <c r="AE38" s="109"/>
      <c r="AF38" s="109"/>
    </row>
    <row r="39" spans="1:32" ht="25.5" customHeight="1">
      <c r="A39" s="150"/>
      <c r="B39" s="469" t="s">
        <v>301</v>
      </c>
      <c r="C39" s="470"/>
      <c r="D39" s="470"/>
      <c r="E39" s="470"/>
      <c r="F39" s="470"/>
      <c r="G39" s="470"/>
      <c r="H39" s="470"/>
      <c r="I39" s="470"/>
      <c r="J39" s="470"/>
      <c r="K39" s="471"/>
      <c r="L39" s="166" t="e">
        <f>#REF!*#REF!</f>
        <v>#REF!</v>
      </c>
      <c r="M39" s="117"/>
      <c r="N39" s="117"/>
      <c r="O39" s="115"/>
      <c r="P39" s="118"/>
      <c r="Q39" s="196"/>
      <c r="R39" s="196"/>
      <c r="S39" s="196"/>
      <c r="T39" s="196"/>
      <c r="U39" s="196"/>
      <c r="V39" s="196"/>
      <c r="W39" s="196"/>
      <c r="X39" s="196"/>
      <c r="Y39" s="117"/>
      <c r="Z39" s="117"/>
      <c r="AA39" s="117"/>
      <c r="AB39" s="117"/>
      <c r="AC39" s="115"/>
      <c r="AD39" s="119"/>
      <c r="AE39" s="109"/>
      <c r="AF39" s="109"/>
    </row>
    <row r="40" spans="1:32" ht="25.5" customHeight="1">
      <c r="A40" s="150"/>
      <c r="B40" s="258" t="s">
        <v>302</v>
      </c>
      <c r="C40" s="259"/>
      <c r="D40" s="259"/>
      <c r="E40" s="260"/>
      <c r="F40" s="43"/>
      <c r="G40" s="464"/>
      <c r="H40" s="464"/>
      <c r="I40" s="90"/>
      <c r="J40" s="43"/>
      <c r="K40" s="43"/>
      <c r="L40" s="240"/>
      <c r="M40" s="117"/>
      <c r="N40" s="117"/>
      <c r="O40" s="115"/>
      <c r="P40" s="114"/>
      <c r="Q40" s="115" t="s">
        <v>70</v>
      </c>
      <c r="R40" s="115"/>
      <c r="S40" s="152"/>
      <c r="T40" s="152"/>
      <c r="U40" s="117"/>
      <c r="V40" s="117"/>
      <c r="W40" s="117"/>
      <c r="X40" s="241"/>
      <c r="Y40" s="117"/>
      <c r="Z40" s="117"/>
      <c r="AA40" s="117"/>
      <c r="AB40" s="117"/>
      <c r="AC40" s="115"/>
      <c r="AD40" s="157"/>
      <c r="AE40" s="109"/>
      <c r="AF40" s="109"/>
    </row>
    <row r="41" spans="1:32" ht="32.4" customHeight="1">
      <c r="A41" s="154"/>
      <c r="B41" s="258" t="s">
        <v>303</v>
      </c>
      <c r="C41" s="259"/>
      <c r="D41" s="259"/>
      <c r="E41" s="260"/>
      <c r="F41" s="43"/>
      <c r="G41" s="464"/>
      <c r="H41" s="464"/>
      <c r="I41" s="90"/>
      <c r="J41" s="43"/>
      <c r="K41" s="43"/>
      <c r="L41" s="166" t="e">
        <f>#REF!*#REF!</f>
        <v>#REF!</v>
      </c>
      <c r="M41" s="113"/>
      <c r="N41" s="113"/>
      <c r="O41" s="109"/>
      <c r="P41" s="124"/>
      <c r="Q41" s="115"/>
      <c r="R41" s="115"/>
      <c r="S41" s="115"/>
      <c r="T41" s="115"/>
      <c r="U41" s="117"/>
      <c r="V41" s="117"/>
      <c r="W41" s="117"/>
      <c r="X41" s="117"/>
      <c r="Y41" s="117"/>
      <c r="Z41" s="117"/>
      <c r="AA41" s="117"/>
      <c r="AB41" s="117"/>
      <c r="AC41" s="115"/>
      <c r="AD41" s="119"/>
      <c r="AE41" s="109"/>
      <c r="AF41" s="109"/>
    </row>
    <row r="42" spans="1:32" ht="25.5" customHeight="1">
      <c r="A42" s="154"/>
      <c r="B42" s="258" t="s">
        <v>304</v>
      </c>
      <c r="C42" s="259"/>
      <c r="D42" s="259"/>
      <c r="E42" s="260"/>
      <c r="F42" s="43"/>
      <c r="G42" s="464"/>
      <c r="H42" s="464"/>
      <c r="I42" s="90"/>
      <c r="J42" s="43"/>
      <c r="K42" s="43"/>
      <c r="L42" s="169"/>
      <c r="M42" s="113"/>
      <c r="N42" s="113"/>
      <c r="O42" s="109"/>
      <c r="P42" s="124"/>
      <c r="Q42" s="115" t="s">
        <v>71</v>
      </c>
      <c r="R42" s="115"/>
      <c r="S42" s="115"/>
      <c r="T42" s="115"/>
      <c r="U42" s="152"/>
      <c r="V42" s="152"/>
      <c r="W42" s="152"/>
      <c r="X42" s="153"/>
      <c r="Y42" s="117"/>
      <c r="Z42" s="117"/>
      <c r="AA42" s="117"/>
      <c r="AB42" s="117"/>
      <c r="AC42" s="115"/>
      <c r="AD42" s="119"/>
      <c r="AE42" s="109"/>
      <c r="AF42" s="109"/>
    </row>
    <row r="43" spans="1:32" ht="25.5" customHeight="1">
      <c r="A43" s="155"/>
      <c r="B43" s="258" t="s">
        <v>305</v>
      </c>
      <c r="C43" s="259"/>
      <c r="D43" s="259"/>
      <c r="E43" s="260"/>
      <c r="F43" s="43"/>
      <c r="G43" s="464"/>
      <c r="H43" s="464"/>
      <c r="I43" s="90"/>
      <c r="J43" s="43"/>
      <c r="K43" s="43"/>
      <c r="L43" s="166" t="e">
        <f>#REF!*#REF!</f>
        <v>#REF!</v>
      </c>
      <c r="M43" s="113"/>
      <c r="N43" s="113"/>
      <c r="O43" s="109"/>
      <c r="P43" s="125"/>
      <c r="Q43" s="115"/>
      <c r="R43" s="115"/>
      <c r="S43" s="115"/>
      <c r="T43" s="115"/>
      <c r="U43" s="117"/>
      <c r="V43" s="117"/>
      <c r="W43" s="117"/>
      <c r="X43" s="153"/>
      <c r="Y43" s="117"/>
      <c r="Z43" s="200"/>
      <c r="AA43" s="200"/>
      <c r="AB43" s="200"/>
      <c r="AC43" s="200"/>
      <c r="AD43" s="119"/>
      <c r="AE43" s="109"/>
      <c r="AF43" s="109"/>
    </row>
    <row r="44" spans="1:32" ht="25.5" customHeight="1">
      <c r="A44" s="150"/>
      <c r="B44" s="265" t="s">
        <v>306</v>
      </c>
      <c r="C44" s="266"/>
      <c r="D44" s="266"/>
      <c r="E44" s="267"/>
      <c r="F44" s="464"/>
      <c r="G44" s="43"/>
      <c r="H44" s="464"/>
      <c r="I44" s="90"/>
      <c r="J44" s="43"/>
      <c r="K44" s="43"/>
      <c r="L44" s="166" t="e">
        <f>#REF!*#REF!</f>
        <v>#REF!</v>
      </c>
      <c r="M44" s="113"/>
      <c r="N44" s="113"/>
      <c r="O44" s="109"/>
      <c r="P44" s="125"/>
      <c r="Q44" s="115"/>
      <c r="R44" s="115"/>
      <c r="S44" s="115"/>
      <c r="T44" s="115"/>
      <c r="U44" s="115"/>
      <c r="V44" s="115"/>
      <c r="W44" s="115"/>
      <c r="X44" s="249" t="str">
        <f>IF('INPUT DATA'!F29="","",'INPUT DATA'!F29)</f>
        <v/>
      </c>
      <c r="Y44" s="249"/>
      <c r="Z44" s="249"/>
      <c r="AA44" s="249"/>
      <c r="AB44" s="249"/>
      <c r="AC44" s="249"/>
      <c r="AD44" s="119"/>
      <c r="AE44" s="109"/>
      <c r="AF44" s="109"/>
    </row>
    <row r="45" spans="1:32" ht="25.5" customHeight="1">
      <c r="A45" s="156"/>
      <c r="B45" s="258" t="s">
        <v>168</v>
      </c>
      <c r="C45" s="259"/>
      <c r="D45" s="259"/>
      <c r="E45" s="260"/>
      <c r="F45" s="464"/>
      <c r="G45" s="43"/>
      <c r="H45" s="464"/>
      <c r="I45" s="90"/>
      <c r="J45" s="43"/>
      <c r="K45" s="43"/>
      <c r="L45" s="166" t="e">
        <f>#REF!*#REF!</f>
        <v>#REF!</v>
      </c>
      <c r="M45" s="113"/>
      <c r="N45" s="113"/>
      <c r="O45" s="109"/>
      <c r="P45" s="125"/>
      <c r="Q45" s="115" t="s">
        <v>72</v>
      </c>
      <c r="R45" s="248"/>
      <c r="S45" s="248"/>
      <c r="T45" s="248"/>
      <c r="U45" s="248"/>
      <c r="V45" s="115"/>
      <c r="W45" s="115"/>
      <c r="X45" s="289" t="s">
        <v>3</v>
      </c>
      <c r="Y45" s="289"/>
      <c r="Z45" s="289"/>
      <c r="AA45" s="289"/>
      <c r="AB45" s="289"/>
      <c r="AC45" s="289"/>
      <c r="AD45" s="119"/>
      <c r="AE45" s="109"/>
      <c r="AF45" s="109"/>
    </row>
    <row r="46" spans="1:32" ht="25.5" customHeight="1">
      <c r="A46" s="156"/>
      <c r="B46" s="258" t="s">
        <v>307</v>
      </c>
      <c r="C46" s="259"/>
      <c r="D46" s="259"/>
      <c r="E46" s="260"/>
      <c r="F46" s="464"/>
      <c r="G46" s="43"/>
      <c r="H46" s="464"/>
      <c r="I46" s="90"/>
      <c r="J46" s="43"/>
      <c r="K46" s="43"/>
      <c r="L46" s="167" t="e">
        <f>SUM(L33:L45)</f>
        <v>#VALUE!</v>
      </c>
      <c r="M46" s="113"/>
      <c r="N46" s="113"/>
      <c r="O46" s="109"/>
      <c r="P46" s="125"/>
      <c r="Q46" s="197"/>
      <c r="R46" s="197"/>
      <c r="S46" s="197"/>
      <c r="T46" s="197"/>
      <c r="U46" s="197"/>
      <c r="V46" s="197"/>
      <c r="W46" s="115"/>
      <c r="X46" s="197"/>
      <c r="Y46" s="196"/>
      <c r="Z46" s="196"/>
      <c r="AA46" s="196"/>
      <c r="AB46" s="196"/>
      <c r="AC46" s="196"/>
      <c r="AD46" s="157"/>
      <c r="AE46" s="109"/>
      <c r="AF46" s="109"/>
    </row>
    <row r="47" spans="1:32" ht="15.6">
      <c r="A47" s="156"/>
      <c r="B47" s="252" t="s">
        <v>308</v>
      </c>
      <c r="C47" s="253"/>
      <c r="D47" s="253"/>
      <c r="E47" s="254"/>
      <c r="F47" s="466"/>
      <c r="G47" s="466"/>
      <c r="H47" s="261"/>
      <c r="I47" s="263"/>
      <c r="J47" s="261"/>
      <c r="K47" s="261"/>
      <c r="L47" s="167" t="e">
        <f>SUM(L34:L46)</f>
        <v>#VALUE!</v>
      </c>
      <c r="M47" s="113"/>
      <c r="N47" s="113"/>
      <c r="O47" s="109"/>
      <c r="P47" s="124"/>
      <c r="Q47" s="197"/>
      <c r="R47" s="197"/>
      <c r="S47" s="197"/>
      <c r="T47" s="197"/>
      <c r="U47" s="197"/>
      <c r="V47" s="197"/>
      <c r="W47" s="115"/>
      <c r="X47" s="197"/>
      <c r="Y47" s="196"/>
      <c r="Z47" s="196"/>
      <c r="AA47" s="196"/>
      <c r="AB47" s="196"/>
      <c r="AC47" s="196"/>
      <c r="AD47" s="119"/>
      <c r="AE47" s="109"/>
      <c r="AF47" s="109"/>
    </row>
    <row r="48" spans="1:32" ht="15.6">
      <c r="A48" s="114"/>
      <c r="B48" s="255"/>
      <c r="C48" s="256"/>
      <c r="D48" s="256"/>
      <c r="E48" s="257"/>
      <c r="F48" s="467"/>
      <c r="G48" s="467"/>
      <c r="H48" s="262"/>
      <c r="I48" s="264"/>
      <c r="J48" s="262"/>
      <c r="K48" s="262"/>
      <c r="L48" s="158"/>
      <c r="M48" s="159"/>
      <c r="N48" s="159"/>
      <c r="O48" s="109"/>
      <c r="P48" s="124"/>
      <c r="Q48" s="250" t="str">
        <f>IF('INPUT DATA'!F24="","",'INPUT DATA'!F24)</f>
        <v/>
      </c>
      <c r="R48" s="250"/>
      <c r="S48" s="250"/>
      <c r="T48" s="250"/>
      <c r="U48" s="250"/>
      <c r="V48" s="250"/>
      <c r="W48" s="115"/>
      <c r="X48" s="247"/>
      <c r="Y48" s="247"/>
      <c r="Z48" s="247"/>
      <c r="AA48" s="247"/>
      <c r="AB48" s="247"/>
      <c r="AC48" s="247"/>
      <c r="AD48" s="119"/>
      <c r="AE48" s="109"/>
      <c r="AF48" s="109"/>
    </row>
    <row r="49" spans="1:32" ht="15.6">
      <c r="A49" s="114"/>
      <c r="B49" s="252" t="s">
        <v>309</v>
      </c>
      <c r="C49" s="253"/>
      <c r="D49" s="253"/>
      <c r="E49" s="254"/>
      <c r="F49" s="468"/>
      <c r="G49" s="468"/>
      <c r="H49" s="261"/>
      <c r="I49" s="263"/>
      <c r="J49" s="261"/>
      <c r="K49" s="261"/>
      <c r="L49" s="158"/>
      <c r="M49" s="159"/>
      <c r="N49" s="159"/>
      <c r="O49" s="109"/>
      <c r="P49" s="124"/>
      <c r="Q49" s="251"/>
      <c r="R49" s="251"/>
      <c r="S49" s="251"/>
      <c r="T49" s="251"/>
      <c r="U49" s="251"/>
      <c r="V49" s="251"/>
      <c r="X49" s="246"/>
      <c r="Y49" s="246"/>
      <c r="Z49" s="246"/>
      <c r="AA49" s="246"/>
      <c r="AB49" s="246"/>
      <c r="AC49" s="246"/>
      <c r="AD49" s="119"/>
      <c r="AE49" s="109"/>
      <c r="AF49" s="109"/>
    </row>
    <row r="50" spans="1:32" ht="15.6">
      <c r="A50" s="114"/>
      <c r="B50" s="255"/>
      <c r="C50" s="256"/>
      <c r="D50" s="256"/>
      <c r="E50" s="257"/>
      <c r="F50" s="468"/>
      <c r="G50" s="468"/>
      <c r="H50" s="262"/>
      <c r="I50" s="264"/>
      <c r="J50" s="262"/>
      <c r="K50" s="262"/>
      <c r="L50" s="158"/>
      <c r="M50" s="159"/>
      <c r="N50" s="159"/>
      <c r="O50" s="109"/>
      <c r="P50" s="124"/>
      <c r="Q50" s="245" t="s">
        <v>98</v>
      </c>
      <c r="R50" s="245"/>
      <c r="S50" s="245"/>
      <c r="T50" s="245"/>
      <c r="U50" s="245"/>
      <c r="V50" s="245"/>
      <c r="W50" s="115"/>
      <c r="X50" s="245"/>
      <c r="Y50" s="245"/>
      <c r="Z50" s="245"/>
      <c r="AA50" s="245"/>
      <c r="AB50" s="245"/>
      <c r="AC50" s="245"/>
      <c r="AD50" s="119"/>
      <c r="AE50" s="109"/>
      <c r="AF50" s="109"/>
    </row>
    <row r="51" spans="1:32" ht="15.6">
      <c r="A51" s="114"/>
      <c r="B51" s="252" t="s">
        <v>310</v>
      </c>
      <c r="C51" s="253"/>
      <c r="D51" s="253"/>
      <c r="E51" s="254"/>
      <c r="F51" s="466"/>
      <c r="G51" s="466"/>
      <c r="H51" s="261"/>
      <c r="I51" s="263"/>
      <c r="J51" s="261"/>
      <c r="K51" s="261"/>
      <c r="L51" s="158"/>
      <c r="M51" s="159"/>
      <c r="N51" s="159"/>
      <c r="O51" s="109"/>
      <c r="P51" s="124"/>
      <c r="Q51" s="115"/>
      <c r="R51" s="115"/>
      <c r="S51" s="115"/>
      <c r="T51" s="115"/>
      <c r="U51" s="115"/>
      <c r="V51" s="115"/>
      <c r="W51" s="115"/>
      <c r="X51" s="115"/>
      <c r="Y51" s="115"/>
      <c r="Z51" s="115"/>
      <c r="AA51" s="115"/>
      <c r="AB51" s="115"/>
      <c r="AC51" s="115"/>
      <c r="AD51" s="119"/>
      <c r="AE51" s="109"/>
      <c r="AF51" s="109"/>
    </row>
    <row r="52" spans="1:32" ht="15.6">
      <c r="A52" s="114"/>
      <c r="B52" s="255"/>
      <c r="C52" s="256"/>
      <c r="D52" s="256"/>
      <c r="E52" s="257"/>
      <c r="F52" s="467"/>
      <c r="G52" s="467"/>
      <c r="H52" s="262"/>
      <c r="I52" s="264"/>
      <c r="J52" s="262"/>
      <c r="K52" s="262"/>
      <c r="L52" s="158"/>
      <c r="M52" s="159"/>
      <c r="N52" s="159"/>
      <c r="O52" s="109"/>
      <c r="P52" s="124"/>
      <c r="Q52" s="115"/>
      <c r="R52" s="115"/>
      <c r="S52" s="115"/>
      <c r="T52" s="115"/>
      <c r="U52" s="115"/>
      <c r="V52" s="115"/>
      <c r="W52" s="115"/>
      <c r="X52" s="115"/>
      <c r="Y52" s="115"/>
      <c r="Z52" s="115"/>
      <c r="AA52" s="115"/>
      <c r="AB52" s="115"/>
      <c r="AC52" s="115"/>
      <c r="AD52" s="119"/>
      <c r="AE52" s="109"/>
      <c r="AF52" s="109"/>
    </row>
    <row r="53" spans="1:32" ht="18">
      <c r="A53" s="114"/>
      <c r="B53" s="275" t="s">
        <v>73</v>
      </c>
      <c r="C53" s="276"/>
      <c r="D53" s="276"/>
      <c r="E53" s="276"/>
      <c r="F53" s="276"/>
      <c r="G53" s="276"/>
      <c r="H53" s="277"/>
      <c r="I53" s="165"/>
      <c r="J53" s="165" t="str">
        <f>IF(COUNT(J33:J52,#REF!)=0,"",ROUND(L46/I53,0))</f>
        <v/>
      </c>
      <c r="K53" s="181" t="str">
        <f>IF(J53="", "", IF(J53&gt;=75, "Passed", "Failed"))</f>
        <v/>
      </c>
      <c r="L53" s="158"/>
      <c r="M53" s="159"/>
      <c r="N53" s="159"/>
      <c r="O53" s="109"/>
      <c r="P53" s="124"/>
      <c r="Q53" s="243" t="s">
        <v>75</v>
      </c>
      <c r="R53" s="243"/>
      <c r="S53" s="243"/>
      <c r="T53" s="243"/>
      <c r="U53" s="243"/>
      <c r="V53" s="243"/>
      <c r="W53" s="243"/>
      <c r="X53" s="243"/>
      <c r="Y53" s="243"/>
      <c r="Z53" s="243"/>
      <c r="AA53" s="243"/>
      <c r="AB53" s="243"/>
      <c r="AC53" s="243"/>
      <c r="AD53" s="119"/>
      <c r="AE53" s="109"/>
      <c r="AF53" s="109"/>
    </row>
    <row r="54" spans="1:32" ht="15.6">
      <c r="A54" s="125"/>
      <c r="B54" s="115"/>
      <c r="C54" s="115"/>
      <c r="D54" s="115"/>
      <c r="E54" s="115"/>
      <c r="F54" s="109"/>
      <c r="G54" s="109"/>
      <c r="H54" s="109"/>
      <c r="I54" s="109"/>
      <c r="J54" s="109"/>
      <c r="K54" s="109"/>
      <c r="L54" s="119"/>
      <c r="M54" s="113"/>
      <c r="N54" s="113"/>
      <c r="O54" s="109"/>
      <c r="P54" s="124"/>
      <c r="Q54" s="115"/>
      <c r="R54" s="115"/>
      <c r="S54" s="115"/>
      <c r="T54" s="115"/>
      <c r="U54" s="115"/>
      <c r="V54" s="115"/>
      <c r="W54" s="115"/>
      <c r="X54" s="115"/>
      <c r="Y54" s="115"/>
      <c r="Z54" s="115"/>
      <c r="AA54" s="115"/>
      <c r="AB54" s="115"/>
      <c r="AC54" s="115"/>
      <c r="AD54" s="119"/>
      <c r="AE54" s="109"/>
      <c r="AF54" s="109"/>
    </row>
    <row r="55" spans="1:32" ht="15.6">
      <c r="A55" s="109"/>
      <c r="B55" s="273" t="s">
        <v>74</v>
      </c>
      <c r="C55" s="244"/>
      <c r="D55" s="244"/>
      <c r="E55" s="244"/>
      <c r="F55" s="274"/>
      <c r="G55" s="244"/>
      <c r="H55" s="191"/>
      <c r="I55" s="274"/>
      <c r="J55" s="244"/>
      <c r="L55" s="119"/>
      <c r="M55" s="113"/>
      <c r="N55" s="113"/>
      <c r="O55" s="109"/>
      <c r="P55" s="124"/>
      <c r="Q55" s="115" t="s">
        <v>78</v>
      </c>
      <c r="R55" s="152"/>
      <c r="S55" s="152"/>
      <c r="T55" s="152"/>
      <c r="U55" s="152"/>
      <c r="V55" s="152"/>
      <c r="W55" s="152"/>
      <c r="X55" s="115" t="s">
        <v>79</v>
      </c>
      <c r="Y55" s="152"/>
      <c r="Z55" s="152"/>
      <c r="AA55" s="152"/>
      <c r="AB55" s="152"/>
      <c r="AC55" s="109"/>
      <c r="AD55" s="157"/>
      <c r="AE55" s="109"/>
      <c r="AF55" s="109"/>
    </row>
    <row r="56" spans="1:32" ht="15.6">
      <c r="A56" s="109"/>
      <c r="B56" s="115"/>
      <c r="C56" s="274" t="s">
        <v>76</v>
      </c>
      <c r="D56" s="274"/>
      <c r="E56" s="244"/>
      <c r="F56" s="274" t="s">
        <v>77</v>
      </c>
      <c r="G56" s="244"/>
      <c r="H56" s="195"/>
      <c r="I56" s="274" t="s">
        <v>63</v>
      </c>
      <c r="J56" s="244"/>
      <c r="L56" s="119"/>
      <c r="M56" s="109"/>
      <c r="N56" s="109"/>
      <c r="O56" s="109"/>
      <c r="P56" s="124"/>
      <c r="Q56" s="109"/>
      <c r="R56" s="109"/>
      <c r="S56" s="109"/>
      <c r="T56" s="109"/>
      <c r="U56" s="109"/>
      <c r="V56" s="109"/>
      <c r="W56" s="109"/>
      <c r="X56" s="109"/>
      <c r="Y56" s="109"/>
      <c r="Z56" s="109"/>
      <c r="AA56" s="109"/>
      <c r="AB56" s="109"/>
      <c r="AC56" s="109"/>
      <c r="AD56" s="119"/>
      <c r="AE56" s="109"/>
      <c r="AF56" s="109"/>
    </row>
    <row r="57" spans="1:32" ht="15.6">
      <c r="A57" s="109"/>
      <c r="B57" s="115"/>
      <c r="C57" s="272" t="s">
        <v>80</v>
      </c>
      <c r="D57" s="272"/>
      <c r="E57" s="272"/>
      <c r="F57" s="272" t="s">
        <v>81</v>
      </c>
      <c r="G57" s="272"/>
      <c r="H57" s="195"/>
      <c r="I57" s="272" t="s">
        <v>82</v>
      </c>
      <c r="J57" s="272"/>
      <c r="L57" s="119"/>
      <c r="M57" s="109"/>
      <c r="N57" s="109"/>
      <c r="O57" s="109"/>
      <c r="P57" s="124"/>
      <c r="Q57" s="109"/>
      <c r="R57" s="109"/>
      <c r="S57" s="109"/>
      <c r="T57" s="109"/>
      <c r="U57" s="109"/>
      <c r="V57" s="109"/>
      <c r="W57" s="109"/>
      <c r="X57" s="109"/>
      <c r="Y57" s="109"/>
      <c r="Z57" s="109"/>
      <c r="AA57" s="109"/>
      <c r="AB57" s="109"/>
      <c r="AC57" s="109"/>
      <c r="AD57" s="119"/>
      <c r="AE57" s="109"/>
      <c r="AF57" s="109"/>
    </row>
    <row r="58" spans="1:32" ht="15.6">
      <c r="A58" s="109"/>
      <c r="B58" s="115"/>
      <c r="C58" s="272" t="s">
        <v>83</v>
      </c>
      <c r="D58" s="272"/>
      <c r="E58" s="272"/>
      <c r="F58" s="272" t="s">
        <v>84</v>
      </c>
      <c r="G58" s="272"/>
      <c r="H58" s="195"/>
      <c r="I58" s="272" t="s">
        <v>82</v>
      </c>
      <c r="J58" s="272"/>
      <c r="L58" s="119"/>
      <c r="M58" s="109"/>
      <c r="N58" s="109"/>
      <c r="O58" s="109"/>
      <c r="P58" s="124"/>
      <c r="Q58" s="109"/>
      <c r="R58" s="109"/>
      <c r="S58" s="109"/>
      <c r="T58" s="109"/>
      <c r="U58" s="109"/>
      <c r="V58" s="109"/>
      <c r="W58" s="109"/>
      <c r="X58" s="109"/>
      <c r="Y58" s="109"/>
      <c r="Z58" s="109"/>
      <c r="AA58" s="109"/>
      <c r="AB58" s="109"/>
      <c r="AC58" s="109"/>
      <c r="AD58" s="119"/>
      <c r="AE58" s="109"/>
      <c r="AF58" s="109"/>
    </row>
    <row r="59" spans="1:32" ht="15.6">
      <c r="A59" s="109"/>
      <c r="B59" s="115"/>
      <c r="C59" s="272" t="s">
        <v>85</v>
      </c>
      <c r="D59" s="272"/>
      <c r="E59" s="272"/>
      <c r="F59" s="272" t="s">
        <v>86</v>
      </c>
      <c r="G59" s="272"/>
      <c r="H59" s="195"/>
      <c r="I59" s="272" t="s">
        <v>82</v>
      </c>
      <c r="J59" s="272"/>
      <c r="L59" s="119"/>
      <c r="M59" s="109"/>
      <c r="N59" s="109"/>
      <c r="O59" s="109"/>
      <c r="P59" s="124"/>
      <c r="Q59" s="249" t="str">
        <f>IF('INPUT DATA'!F26="","",'INPUT DATA'!F26)</f>
        <v/>
      </c>
      <c r="R59" s="249"/>
      <c r="S59" s="249"/>
      <c r="T59" s="249"/>
      <c r="U59" s="249"/>
      <c r="V59" s="249"/>
      <c r="W59" s="109"/>
      <c r="X59" s="109"/>
      <c r="Y59" s="109"/>
      <c r="Z59" s="109"/>
      <c r="AA59" s="109"/>
      <c r="AB59" s="109"/>
      <c r="AC59" s="109"/>
      <c r="AD59" s="119"/>
      <c r="AE59" s="109"/>
      <c r="AF59" s="109"/>
    </row>
    <row r="60" spans="1:32" ht="15.6">
      <c r="A60" s="109"/>
      <c r="B60" s="115"/>
      <c r="C60" s="272" t="s">
        <v>87</v>
      </c>
      <c r="D60" s="272"/>
      <c r="E60" s="272"/>
      <c r="F60" s="272" t="s">
        <v>88</v>
      </c>
      <c r="G60" s="272"/>
      <c r="H60" s="195"/>
      <c r="I60" s="272" t="s">
        <v>89</v>
      </c>
      <c r="J60" s="272"/>
      <c r="L60" s="119"/>
      <c r="M60" s="109"/>
      <c r="N60" s="109"/>
      <c r="O60" s="109"/>
      <c r="P60" s="124"/>
      <c r="Q60" s="246" t="s">
        <v>1</v>
      </c>
      <c r="R60" s="246"/>
      <c r="S60" s="246"/>
      <c r="T60" s="246"/>
      <c r="U60" s="246"/>
      <c r="V60" s="246"/>
      <c r="W60" s="109"/>
      <c r="X60" s="109"/>
      <c r="Y60" s="109"/>
      <c r="Z60" s="109"/>
      <c r="AA60" s="109"/>
      <c r="AB60" s="109"/>
      <c r="AC60" s="109"/>
      <c r="AD60" s="119"/>
      <c r="AE60" s="109"/>
      <c r="AF60" s="109"/>
    </row>
    <row r="61" spans="1:32" ht="15.6">
      <c r="A61" s="109"/>
      <c r="B61" s="109"/>
      <c r="C61" s="272" t="s">
        <v>90</v>
      </c>
      <c r="D61" s="272"/>
      <c r="E61" s="272"/>
      <c r="F61" s="272" t="s">
        <v>91</v>
      </c>
      <c r="G61" s="272"/>
      <c r="H61" s="109"/>
      <c r="I61" s="272" t="s">
        <v>89</v>
      </c>
      <c r="J61" s="272"/>
      <c r="K61" s="109"/>
      <c r="L61" s="119"/>
      <c r="M61" s="109"/>
      <c r="N61" s="109"/>
      <c r="O61" s="109"/>
      <c r="P61" s="124"/>
      <c r="Q61" s="109"/>
      <c r="R61" s="109"/>
      <c r="S61" s="109"/>
      <c r="T61" s="109"/>
      <c r="U61" s="109"/>
      <c r="V61" s="109"/>
      <c r="W61" s="109"/>
      <c r="X61" s="109"/>
      <c r="Y61" s="109"/>
      <c r="Z61" s="109"/>
      <c r="AA61" s="109"/>
      <c r="AB61" s="109"/>
      <c r="AC61" s="109"/>
      <c r="AD61" s="119"/>
      <c r="AE61" s="109"/>
      <c r="AF61" s="109"/>
    </row>
    <row r="62" spans="1:32" ht="15.6" thickBot="1">
      <c r="A62" s="160"/>
      <c r="B62" s="161"/>
      <c r="C62" s="161"/>
      <c r="D62" s="162"/>
      <c r="E62" s="161"/>
      <c r="F62" s="161"/>
      <c r="G62" s="161"/>
      <c r="H62" s="161"/>
      <c r="I62" s="161"/>
      <c r="J62" s="161"/>
      <c r="K62" s="161"/>
      <c r="L62" s="163"/>
      <c r="M62" s="109"/>
      <c r="N62" s="109"/>
      <c r="O62" s="109"/>
      <c r="P62" s="164"/>
      <c r="Q62" s="161"/>
      <c r="R62" s="161"/>
      <c r="S62" s="161"/>
      <c r="T62" s="161"/>
      <c r="U62" s="161"/>
      <c r="V62" s="161"/>
      <c r="W62" s="161"/>
      <c r="X62" s="161"/>
      <c r="Y62" s="161"/>
      <c r="Z62" s="161"/>
      <c r="AA62" s="161"/>
      <c r="AB62" s="161"/>
      <c r="AC62" s="161"/>
      <c r="AD62" s="163"/>
      <c r="AE62" s="109"/>
      <c r="AF62" s="109"/>
    </row>
    <row r="63" spans="1:32" ht="15">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row>
    <row r="64" spans="1:32" ht="15">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row>
    <row r="65" spans="1:32" ht="15">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row>
    <row r="66" spans="1:32" ht="15">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row>
    <row r="67" spans="1:32" ht="15">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row>
    <row r="68" spans="1:32" ht="15">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c r="AA68" s="109"/>
      <c r="AB68" s="109"/>
      <c r="AC68" s="109"/>
      <c r="AD68" s="109"/>
      <c r="AE68" s="109"/>
      <c r="AF68" s="109"/>
    </row>
    <row r="69" spans="1:32" ht="15">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c r="AC69" s="109"/>
      <c r="AD69" s="109"/>
      <c r="AE69" s="109"/>
      <c r="AF69" s="109"/>
    </row>
    <row r="70" spans="1:32" ht="15">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c r="AA70" s="109"/>
      <c r="AB70" s="109"/>
      <c r="AC70" s="109"/>
      <c r="AD70" s="109"/>
      <c r="AE70" s="109"/>
      <c r="AF70" s="109"/>
    </row>
    <row r="71" spans="1:32" ht="15">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row>
    <row r="72" spans="1:32" ht="15">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row>
    <row r="73" spans="1:32" ht="15">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c r="AA73" s="109"/>
      <c r="AB73" s="109"/>
      <c r="AC73" s="109"/>
      <c r="AD73" s="109"/>
      <c r="AE73" s="109"/>
      <c r="AF73" s="109"/>
    </row>
    <row r="74" spans="1:32" ht="15">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c r="AA74" s="109"/>
      <c r="AB74" s="109"/>
      <c r="AC74" s="109"/>
      <c r="AD74" s="109"/>
      <c r="AE74" s="109"/>
      <c r="AF74" s="109"/>
    </row>
    <row r="75" spans="1:32" ht="15">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row>
    <row r="76" spans="1:32" ht="15">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c r="AA76" s="109"/>
      <c r="AB76" s="109"/>
      <c r="AC76" s="109"/>
      <c r="AD76" s="109"/>
      <c r="AE76" s="109"/>
      <c r="AF76" s="109"/>
    </row>
    <row r="77" spans="1:32" ht="15">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row>
    <row r="78" spans="1:32" ht="15">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row>
    <row r="79" spans="1:32" ht="15">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c r="AA79" s="109"/>
      <c r="AB79" s="109"/>
      <c r="AC79" s="109"/>
      <c r="AD79" s="109"/>
      <c r="AE79" s="109"/>
      <c r="AF79" s="109"/>
    </row>
    <row r="80" spans="1:32" ht="15">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row>
    <row r="81" spans="1:32" ht="15">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row>
    <row r="82" spans="1:32" ht="15">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row>
    <row r="83" spans="1:32" ht="15">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row>
    <row r="84" spans="1:32" ht="15">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row>
    <row r="85" spans="1:32" ht="15">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row>
    <row r="86" spans="1:32" ht="15">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row>
    <row r="87" spans="1:32" ht="15">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row>
    <row r="88" spans="1:32" ht="15">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row>
    <row r="89" spans="1:32" ht="15">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row>
    <row r="90" spans="1:32" ht="15">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row>
    <row r="91" spans="1:32" ht="15">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row>
    <row r="92" spans="1:32" ht="15">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row>
    <row r="93" spans="1:32" ht="15">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row>
    <row r="94" spans="1:32" ht="15">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row>
    <row r="95" spans="1:32" ht="15">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row>
    <row r="96" spans="1:32" ht="15">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row>
    <row r="97" spans="1:32" ht="15">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row>
    <row r="98" spans="1:32" ht="15">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row>
    <row r="99" spans="1:32" ht="15">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row>
    <row r="100" spans="1:32" ht="15">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row>
    <row r="101" spans="1:32" ht="15">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row>
    <row r="102" spans="1:32" ht="15">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row>
    <row r="103" spans="1:32" ht="15">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row>
    <row r="104" spans="1:32" ht="15">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row>
    <row r="105" spans="1:32" ht="1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row>
    <row r="106" spans="1:32" ht="15">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row>
    <row r="107" spans="1:32" ht="15">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row>
    <row r="108" spans="1:32" ht="15">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row>
    <row r="109" spans="1:32" ht="15">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row>
    <row r="110" spans="1:32" ht="15">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row>
    <row r="111" spans="1:32" ht="15">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row>
    <row r="112" spans="1:32" ht="15">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row>
    <row r="113" spans="1:32" ht="15">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row>
    <row r="114" spans="1:32" ht="15">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row>
    <row r="115" spans="1:32" ht="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row>
    <row r="116" spans="1:32" ht="15">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row>
    <row r="117" spans="1:32" ht="15">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row>
    <row r="118" spans="1:32" ht="15">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row>
    <row r="119" spans="1:32" ht="15">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row>
    <row r="120" spans="1:32" ht="15">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row>
    <row r="121" spans="1:32" ht="15">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row>
    <row r="122" spans="1:32" ht="15">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row>
    <row r="123" spans="1:32" ht="15">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row>
    <row r="124" spans="1:32" ht="15">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row>
    <row r="125" spans="1:32" ht="1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row>
    <row r="126" spans="1:32" ht="15">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row>
    <row r="127" spans="1:32" ht="15">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row>
    <row r="128" spans="1:32" ht="15">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row>
    <row r="129" spans="1:32" ht="15">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row>
    <row r="130" spans="1:32" ht="15">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row>
    <row r="131" spans="1:32" ht="15">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row>
    <row r="132" spans="1:32" ht="15">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row>
    <row r="133" spans="1:32" ht="15">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row>
    <row r="134" spans="1:32" ht="15">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row>
    <row r="135" spans="1:32" ht="1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row>
    <row r="136" spans="1:32" ht="15">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row>
    <row r="137" spans="1:32" ht="15">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row>
    <row r="138" spans="1:32" ht="15">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row>
    <row r="139" spans="1:32" ht="15">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row>
    <row r="140" spans="1:32" ht="15">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row>
    <row r="141" spans="1:32" ht="15">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row>
    <row r="142" spans="1:32" ht="15">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row>
    <row r="143" spans="1:32" ht="15">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row>
    <row r="144" spans="1:32" ht="15">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row>
    <row r="145" spans="1:32" ht="1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row>
    <row r="146" spans="1:32" ht="15">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row>
    <row r="147" spans="1:32" ht="15">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row>
    <row r="148" spans="1:32" ht="15">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row>
    <row r="149" spans="1:32" ht="15">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row>
    <row r="150" spans="1:32" ht="15">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row>
    <row r="151" spans="1:32" ht="15">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row>
    <row r="152" spans="1:32" ht="15">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row>
    <row r="153" spans="1:32" ht="15">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row>
    <row r="154" spans="1:32" ht="15">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row>
    <row r="155" spans="1:32" ht="1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row>
    <row r="156" spans="1:32" ht="15">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row>
    <row r="157" spans="1:32" ht="15">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row>
    <row r="158" spans="1:32" ht="15">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row>
    <row r="159" spans="1:32" ht="15">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row>
    <row r="160" spans="1:32" ht="15">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109"/>
      <c r="AC160" s="109"/>
      <c r="AD160" s="109"/>
      <c r="AE160" s="109"/>
      <c r="AF160" s="109"/>
    </row>
    <row r="161" spans="1:32" ht="15">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c r="AA161" s="109"/>
      <c r="AB161" s="109"/>
      <c r="AC161" s="109"/>
      <c r="AD161" s="109"/>
      <c r="AE161" s="109"/>
      <c r="AF161" s="109"/>
    </row>
    <row r="162" spans="1:32" ht="15">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c r="AA162" s="109"/>
      <c r="AB162" s="109"/>
      <c r="AC162" s="109"/>
      <c r="AD162" s="109"/>
      <c r="AE162" s="109"/>
      <c r="AF162" s="109"/>
    </row>
    <row r="163" spans="1:32" ht="15">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c r="AA163" s="109"/>
      <c r="AB163" s="109"/>
      <c r="AC163" s="109"/>
      <c r="AD163" s="109"/>
      <c r="AE163" s="109"/>
      <c r="AF163" s="109"/>
    </row>
    <row r="164" spans="1:32" ht="15">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c r="AA164" s="109"/>
      <c r="AB164" s="109"/>
      <c r="AC164" s="109"/>
      <c r="AD164" s="109"/>
      <c r="AE164" s="109"/>
      <c r="AF164" s="109"/>
    </row>
    <row r="165" spans="1:32" ht="1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c r="AC165" s="109"/>
      <c r="AD165" s="109"/>
      <c r="AE165" s="109"/>
      <c r="AF165" s="109"/>
    </row>
    <row r="166" spans="1:32" ht="15">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c r="AA166" s="109"/>
      <c r="AB166" s="109"/>
      <c r="AC166" s="109"/>
      <c r="AD166" s="109"/>
      <c r="AE166" s="109"/>
      <c r="AF166" s="109"/>
    </row>
    <row r="167" spans="1:32" ht="15">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c r="AA167" s="109"/>
      <c r="AB167" s="109"/>
      <c r="AC167" s="109"/>
      <c r="AD167" s="109"/>
      <c r="AE167" s="109"/>
      <c r="AF167" s="109"/>
    </row>
    <row r="168" spans="1:32" ht="15">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c r="AA168" s="109"/>
      <c r="AB168" s="109"/>
      <c r="AC168" s="109"/>
      <c r="AD168" s="109"/>
      <c r="AE168" s="109"/>
      <c r="AF168" s="109"/>
    </row>
    <row r="169" spans="1:32" ht="15">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c r="AA169" s="109"/>
      <c r="AB169" s="109"/>
      <c r="AC169" s="109"/>
      <c r="AD169" s="109"/>
      <c r="AE169" s="109"/>
      <c r="AF169" s="109"/>
    </row>
    <row r="170" spans="1:32" ht="15">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c r="AA170" s="109"/>
      <c r="AB170" s="109"/>
      <c r="AC170" s="109"/>
      <c r="AD170" s="109"/>
      <c r="AE170" s="109"/>
      <c r="AF170" s="109"/>
    </row>
    <row r="171" spans="1:32" ht="15">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109"/>
      <c r="AC171" s="109"/>
      <c r="AD171" s="109"/>
      <c r="AE171" s="109"/>
      <c r="AF171" s="109"/>
    </row>
    <row r="172" spans="1:32" ht="15">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c r="AA172" s="109"/>
      <c r="AB172" s="109"/>
      <c r="AC172" s="109"/>
      <c r="AD172" s="109"/>
      <c r="AE172" s="109"/>
      <c r="AF172" s="109"/>
    </row>
    <row r="173" spans="1:32" ht="15">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c r="AA173" s="109"/>
      <c r="AB173" s="109"/>
      <c r="AC173" s="109"/>
      <c r="AD173" s="109"/>
      <c r="AE173" s="109"/>
      <c r="AF173" s="109"/>
    </row>
    <row r="174" spans="1:32" ht="15">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c r="AA174" s="109"/>
      <c r="AB174" s="109"/>
      <c r="AC174" s="109"/>
      <c r="AD174" s="109"/>
      <c r="AE174" s="109"/>
      <c r="AF174" s="109"/>
    </row>
    <row r="175" spans="1:32" ht="1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c r="AA175" s="109"/>
      <c r="AB175" s="109"/>
      <c r="AC175" s="109"/>
      <c r="AD175" s="109"/>
      <c r="AE175" s="109"/>
      <c r="AF175" s="109"/>
    </row>
    <row r="176" spans="1:32" ht="15">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c r="AA176" s="109"/>
      <c r="AB176" s="109"/>
      <c r="AC176" s="109"/>
      <c r="AD176" s="109"/>
      <c r="AE176" s="109"/>
      <c r="AF176" s="109"/>
    </row>
    <row r="177" spans="1:32" ht="15">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c r="AA177" s="109"/>
      <c r="AB177" s="109"/>
      <c r="AC177" s="109"/>
      <c r="AD177" s="109"/>
      <c r="AE177" s="109"/>
      <c r="AF177" s="109"/>
    </row>
    <row r="178" spans="1:32" ht="15">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c r="AA178" s="109"/>
      <c r="AB178" s="109"/>
      <c r="AC178" s="109"/>
      <c r="AD178" s="109"/>
      <c r="AE178" s="109"/>
      <c r="AF178" s="109"/>
    </row>
    <row r="179" spans="1:32" ht="15">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c r="AA179" s="109"/>
      <c r="AB179" s="109"/>
      <c r="AC179" s="109"/>
      <c r="AD179" s="109"/>
      <c r="AE179" s="109"/>
      <c r="AF179" s="109"/>
    </row>
    <row r="180" spans="1:32" ht="15">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c r="AA180" s="109"/>
      <c r="AB180" s="109"/>
      <c r="AC180" s="109"/>
      <c r="AD180" s="109"/>
      <c r="AE180" s="109"/>
      <c r="AF180" s="109"/>
    </row>
    <row r="181" spans="1:32" ht="15">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c r="AA181" s="109"/>
      <c r="AB181" s="109"/>
      <c r="AC181" s="109"/>
      <c r="AD181" s="109"/>
      <c r="AE181" s="109"/>
      <c r="AF181" s="109"/>
    </row>
    <row r="182" spans="1:32" ht="15">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c r="AA182" s="109"/>
      <c r="AB182" s="109"/>
      <c r="AC182" s="109"/>
      <c r="AD182" s="109"/>
      <c r="AE182" s="109"/>
      <c r="AF182" s="109"/>
    </row>
    <row r="183" spans="1:32" ht="15">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c r="AA183" s="109"/>
      <c r="AB183" s="109"/>
      <c r="AC183" s="109"/>
      <c r="AD183" s="109"/>
      <c r="AE183" s="109"/>
      <c r="AF183" s="109"/>
    </row>
    <row r="184" spans="1:32" ht="15">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c r="AA184" s="109"/>
      <c r="AB184" s="109"/>
      <c r="AC184" s="109"/>
      <c r="AD184" s="109"/>
      <c r="AE184" s="109"/>
      <c r="AF184" s="109"/>
    </row>
    <row r="185" spans="1:32" ht="1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c r="AA185" s="109"/>
      <c r="AB185" s="109"/>
      <c r="AC185" s="109"/>
      <c r="AD185" s="109"/>
      <c r="AE185" s="109"/>
      <c r="AF185" s="109"/>
    </row>
    <row r="186" spans="1:32" ht="15">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c r="AA186" s="109"/>
      <c r="AB186" s="109"/>
      <c r="AC186" s="109"/>
      <c r="AD186" s="109"/>
      <c r="AE186" s="109"/>
      <c r="AF186" s="109"/>
    </row>
    <row r="187" spans="1:32" ht="15">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c r="AA187" s="109"/>
      <c r="AB187" s="109"/>
      <c r="AC187" s="109"/>
      <c r="AD187" s="109"/>
      <c r="AE187" s="109"/>
      <c r="AF187" s="109"/>
    </row>
    <row r="188" spans="1:32" ht="15">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c r="AA188" s="109"/>
      <c r="AB188" s="109"/>
      <c r="AC188" s="109"/>
      <c r="AD188" s="109"/>
      <c r="AE188" s="109"/>
      <c r="AF188" s="109"/>
    </row>
    <row r="189" spans="1:32" ht="15">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c r="AA189" s="109"/>
      <c r="AB189" s="109"/>
      <c r="AC189" s="109"/>
      <c r="AD189" s="109"/>
      <c r="AE189" s="109"/>
      <c r="AF189" s="109"/>
    </row>
    <row r="190" spans="1:32" ht="15">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c r="AA190" s="109"/>
      <c r="AB190" s="109"/>
      <c r="AC190" s="109"/>
      <c r="AD190" s="109"/>
      <c r="AE190" s="109"/>
      <c r="AF190" s="109"/>
    </row>
    <row r="191" spans="1:32" ht="15">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c r="AA191" s="109"/>
      <c r="AB191" s="109"/>
      <c r="AC191" s="109"/>
      <c r="AD191" s="109"/>
      <c r="AE191" s="109"/>
      <c r="AF191" s="109"/>
    </row>
    <row r="192" spans="1:32" ht="15">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c r="AA192" s="109"/>
      <c r="AB192" s="109"/>
      <c r="AC192" s="109"/>
      <c r="AD192" s="109"/>
      <c r="AE192" s="109"/>
      <c r="AF192" s="109"/>
    </row>
    <row r="193" spans="1:32" ht="15">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c r="AA193" s="109"/>
      <c r="AB193" s="109"/>
      <c r="AC193" s="109"/>
      <c r="AD193" s="109"/>
      <c r="AE193" s="109"/>
      <c r="AF193" s="109"/>
    </row>
    <row r="194" spans="1:32" ht="15">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c r="AA194" s="109"/>
      <c r="AB194" s="109"/>
      <c r="AC194" s="109"/>
      <c r="AD194" s="109"/>
      <c r="AE194" s="109"/>
      <c r="AF194" s="109"/>
    </row>
    <row r="195" spans="1:32" ht="1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c r="AA195" s="109"/>
      <c r="AB195" s="109"/>
      <c r="AC195" s="109"/>
      <c r="AD195" s="109"/>
      <c r="AE195" s="109"/>
      <c r="AF195" s="109"/>
    </row>
    <row r="196" spans="1:32" ht="15">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c r="AA196" s="109"/>
      <c r="AB196" s="109"/>
      <c r="AC196" s="109"/>
      <c r="AD196" s="109"/>
      <c r="AE196" s="109"/>
      <c r="AF196" s="109"/>
    </row>
    <row r="197" spans="1:32" ht="15">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c r="AA197" s="109"/>
      <c r="AB197" s="109"/>
      <c r="AC197" s="109"/>
      <c r="AD197" s="109"/>
      <c r="AE197" s="109"/>
      <c r="AF197" s="109"/>
    </row>
    <row r="198" spans="1:32" ht="15">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c r="AA198" s="109"/>
      <c r="AB198" s="109"/>
      <c r="AC198" s="109"/>
      <c r="AD198" s="109"/>
      <c r="AE198" s="109"/>
      <c r="AF198" s="109"/>
    </row>
    <row r="199" spans="1:32" ht="15">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c r="AA199" s="109"/>
      <c r="AB199" s="109"/>
      <c r="AC199" s="109"/>
      <c r="AD199" s="109"/>
      <c r="AE199" s="109"/>
      <c r="AF199" s="109"/>
    </row>
    <row r="200" spans="1:32" ht="15">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c r="AA200" s="109"/>
      <c r="AB200" s="109"/>
      <c r="AC200" s="109"/>
      <c r="AD200" s="109"/>
      <c r="AE200" s="109"/>
      <c r="AF200" s="109"/>
    </row>
    <row r="201" spans="1:32" ht="15">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c r="AA201" s="109"/>
      <c r="AB201" s="109"/>
      <c r="AC201" s="109"/>
      <c r="AD201" s="109"/>
      <c r="AE201" s="109"/>
      <c r="AF201" s="109"/>
    </row>
    <row r="202" spans="1:32" ht="15">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c r="AA202" s="109"/>
      <c r="AB202" s="109"/>
      <c r="AC202" s="109"/>
      <c r="AD202" s="109"/>
      <c r="AE202" s="109"/>
      <c r="AF202" s="109"/>
    </row>
    <row r="203" spans="1:32" ht="15">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c r="AA203" s="109"/>
      <c r="AB203" s="109"/>
      <c r="AC203" s="109"/>
      <c r="AD203" s="109"/>
      <c r="AE203" s="109"/>
      <c r="AF203" s="109"/>
    </row>
    <row r="204" spans="1:32" ht="15">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c r="AA204" s="109"/>
      <c r="AB204" s="109"/>
      <c r="AC204" s="109"/>
      <c r="AD204" s="109"/>
      <c r="AE204" s="109"/>
      <c r="AF204" s="109"/>
    </row>
    <row r="205" spans="1:32" ht="1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109"/>
      <c r="AC205" s="109"/>
      <c r="AD205" s="109"/>
      <c r="AE205" s="109"/>
      <c r="AF205" s="109"/>
    </row>
    <row r="206" spans="1:32" ht="15">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c r="AA206" s="109"/>
      <c r="AB206" s="109"/>
      <c r="AC206" s="109"/>
      <c r="AD206" s="109"/>
      <c r="AE206" s="109"/>
      <c r="AF206" s="109"/>
    </row>
    <row r="207" spans="1:32" ht="15">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c r="AA207" s="109"/>
      <c r="AB207" s="109"/>
      <c r="AC207" s="109"/>
      <c r="AD207" s="109"/>
      <c r="AE207" s="109"/>
      <c r="AF207" s="109"/>
    </row>
    <row r="208" spans="1:32" ht="15">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c r="AA208" s="109"/>
      <c r="AB208" s="109"/>
      <c r="AC208" s="109"/>
      <c r="AD208" s="109"/>
      <c r="AE208" s="109"/>
      <c r="AF208" s="109"/>
    </row>
    <row r="209" spans="1:32" ht="15">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c r="AA209" s="109"/>
      <c r="AB209" s="109"/>
      <c r="AC209" s="109"/>
      <c r="AD209" s="109"/>
      <c r="AE209" s="109"/>
      <c r="AF209" s="109"/>
    </row>
    <row r="210" spans="1:32" ht="15">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c r="AA210" s="109"/>
      <c r="AB210" s="109"/>
      <c r="AC210" s="109"/>
      <c r="AD210" s="109"/>
      <c r="AE210" s="109"/>
      <c r="AF210" s="109"/>
    </row>
    <row r="211" spans="1:32" ht="15">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c r="AA211" s="109"/>
      <c r="AB211" s="109"/>
      <c r="AC211" s="109"/>
      <c r="AD211" s="109"/>
      <c r="AE211" s="109"/>
      <c r="AF211" s="109"/>
    </row>
    <row r="212" spans="1:32" ht="15">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c r="AA212" s="109"/>
      <c r="AB212" s="109"/>
      <c r="AC212" s="109"/>
      <c r="AD212" s="109"/>
      <c r="AE212" s="109"/>
      <c r="AF212" s="109"/>
    </row>
    <row r="213" spans="1:32" ht="15">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c r="AA213" s="109"/>
      <c r="AB213" s="109"/>
      <c r="AC213" s="109"/>
      <c r="AD213" s="109"/>
      <c r="AE213" s="109"/>
      <c r="AF213" s="109"/>
    </row>
    <row r="214" spans="1:32" ht="15">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c r="AA214" s="109"/>
      <c r="AB214" s="109"/>
      <c r="AC214" s="109"/>
      <c r="AD214" s="109"/>
      <c r="AE214" s="109"/>
      <c r="AF214" s="109"/>
    </row>
    <row r="215" spans="1:32" ht="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c r="AA215" s="109"/>
      <c r="AB215" s="109"/>
      <c r="AC215" s="109"/>
      <c r="AD215" s="109"/>
      <c r="AE215" s="109"/>
      <c r="AF215" s="109"/>
    </row>
    <row r="216" spans="1:32" ht="15">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c r="AA216" s="109"/>
      <c r="AB216" s="109"/>
      <c r="AC216" s="109"/>
      <c r="AD216" s="109"/>
      <c r="AE216" s="109"/>
      <c r="AF216" s="109"/>
    </row>
    <row r="217" spans="1:32" ht="15">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c r="AA217" s="109"/>
      <c r="AB217" s="109"/>
      <c r="AC217" s="109"/>
      <c r="AD217" s="109"/>
      <c r="AE217" s="109"/>
      <c r="AF217" s="109"/>
    </row>
    <row r="218" spans="1:32" ht="15">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c r="AA218" s="109"/>
      <c r="AB218" s="109"/>
      <c r="AC218" s="109"/>
      <c r="AD218" s="109"/>
      <c r="AE218" s="109"/>
      <c r="AF218" s="109"/>
    </row>
    <row r="219" spans="1:32" ht="15">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c r="AA219" s="109"/>
      <c r="AB219" s="109"/>
      <c r="AC219" s="109"/>
      <c r="AD219" s="109"/>
      <c r="AE219" s="109"/>
      <c r="AF219" s="109"/>
    </row>
    <row r="220" spans="1:32" ht="15">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c r="AA220" s="109"/>
      <c r="AB220" s="109"/>
      <c r="AC220" s="109"/>
      <c r="AD220" s="109"/>
      <c r="AE220" s="109"/>
      <c r="AF220" s="109"/>
    </row>
    <row r="221" spans="1:32" ht="15">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c r="AA221" s="109"/>
      <c r="AB221" s="109"/>
      <c r="AC221" s="109"/>
      <c r="AD221" s="109"/>
      <c r="AE221" s="109"/>
      <c r="AF221" s="109"/>
    </row>
    <row r="222" spans="1:32" ht="15">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c r="AA222" s="109"/>
      <c r="AB222" s="109"/>
      <c r="AC222" s="109"/>
      <c r="AD222" s="109"/>
      <c r="AE222" s="109"/>
      <c r="AF222" s="109"/>
    </row>
    <row r="223" spans="1:32" ht="15">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c r="AA223" s="109"/>
      <c r="AB223" s="109"/>
      <c r="AC223" s="109"/>
      <c r="AD223" s="109"/>
      <c r="AE223" s="109"/>
      <c r="AF223" s="109"/>
    </row>
    <row r="224" spans="1:32" ht="15">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c r="AA224" s="109"/>
      <c r="AB224" s="109"/>
      <c r="AC224" s="109"/>
      <c r="AD224" s="109"/>
      <c r="AE224" s="109"/>
      <c r="AF224" s="109"/>
    </row>
    <row r="225" spans="1:32" ht="1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c r="AA225" s="109"/>
      <c r="AB225" s="109"/>
      <c r="AC225" s="109"/>
      <c r="AD225" s="109"/>
      <c r="AE225" s="109"/>
      <c r="AF225" s="109"/>
    </row>
    <row r="226" spans="1:32" ht="15">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c r="AA226" s="109"/>
      <c r="AB226" s="109"/>
      <c r="AC226" s="109"/>
      <c r="AD226" s="109"/>
      <c r="AE226" s="109"/>
      <c r="AF226" s="109"/>
    </row>
    <row r="227" spans="1:32" ht="15">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c r="AA227" s="109"/>
      <c r="AB227" s="109"/>
      <c r="AC227" s="109"/>
      <c r="AD227" s="109"/>
      <c r="AE227" s="109"/>
      <c r="AF227" s="109"/>
    </row>
    <row r="228" spans="1:32" ht="15">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c r="AA228" s="109"/>
      <c r="AB228" s="109"/>
      <c r="AC228" s="109"/>
      <c r="AD228" s="109"/>
      <c r="AE228" s="109"/>
      <c r="AF228" s="109"/>
    </row>
    <row r="229" spans="1:32" ht="15">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c r="AA229" s="109"/>
      <c r="AB229" s="109"/>
      <c r="AC229" s="109"/>
      <c r="AD229" s="109"/>
      <c r="AE229" s="109"/>
      <c r="AF229" s="109"/>
    </row>
    <row r="230" spans="1:32" ht="15">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c r="AA230" s="109"/>
      <c r="AB230" s="109"/>
      <c r="AC230" s="109"/>
      <c r="AD230" s="109"/>
      <c r="AE230" s="109"/>
      <c r="AF230" s="109"/>
    </row>
    <row r="231" spans="1:32" ht="15">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c r="AA231" s="109"/>
      <c r="AB231" s="109"/>
      <c r="AC231" s="109"/>
      <c r="AD231" s="109"/>
      <c r="AE231" s="109"/>
      <c r="AF231" s="109"/>
    </row>
    <row r="232" spans="1:32" ht="15">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c r="AA232" s="109"/>
      <c r="AB232" s="109"/>
      <c r="AC232" s="109"/>
      <c r="AD232" s="109"/>
      <c r="AE232" s="109"/>
      <c r="AF232" s="109"/>
    </row>
    <row r="233" spans="1:32" ht="15">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c r="AA233" s="109"/>
      <c r="AB233" s="109"/>
      <c r="AC233" s="109"/>
      <c r="AD233" s="109"/>
      <c r="AE233" s="109"/>
      <c r="AF233" s="109"/>
    </row>
    <row r="234" spans="1:32" ht="15">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c r="AA234" s="109"/>
      <c r="AB234" s="109"/>
      <c r="AC234" s="109"/>
      <c r="AD234" s="109"/>
      <c r="AE234" s="109"/>
      <c r="AF234" s="109"/>
    </row>
    <row r="235" spans="1:32" ht="1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c r="AA235" s="109"/>
      <c r="AB235" s="109"/>
      <c r="AC235" s="109"/>
      <c r="AD235" s="109"/>
      <c r="AE235" s="109"/>
      <c r="AF235" s="109"/>
    </row>
    <row r="236" spans="1:32" ht="15">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c r="AA236" s="109"/>
      <c r="AB236" s="109"/>
      <c r="AC236" s="109"/>
      <c r="AD236" s="109"/>
      <c r="AE236" s="109"/>
      <c r="AF236" s="109"/>
    </row>
    <row r="237" spans="1:32" ht="15">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c r="AA237" s="109"/>
      <c r="AB237" s="109"/>
      <c r="AC237" s="109"/>
      <c r="AD237" s="109"/>
      <c r="AE237" s="109"/>
      <c r="AF237" s="109"/>
    </row>
    <row r="238" spans="1:32" ht="15">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c r="AA238" s="109"/>
      <c r="AB238" s="109"/>
      <c r="AC238" s="109"/>
      <c r="AD238" s="109"/>
      <c r="AE238" s="109"/>
      <c r="AF238" s="109"/>
    </row>
    <row r="239" spans="1:32" ht="15">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109"/>
      <c r="AC239" s="109"/>
      <c r="AD239" s="109"/>
      <c r="AE239" s="109"/>
      <c r="AF239" s="109"/>
    </row>
    <row r="240" spans="1:32" ht="15">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c r="AA240" s="109"/>
      <c r="AB240" s="109"/>
      <c r="AC240" s="109"/>
      <c r="AD240" s="109"/>
      <c r="AE240" s="109"/>
      <c r="AF240" s="109"/>
    </row>
    <row r="241" spans="1:32" ht="15">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c r="AA241" s="109"/>
      <c r="AB241" s="109"/>
      <c r="AC241" s="109"/>
      <c r="AD241" s="109"/>
      <c r="AE241" s="109"/>
      <c r="AF241" s="109"/>
    </row>
    <row r="242" spans="1:32" ht="15">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c r="AA242" s="109"/>
      <c r="AB242" s="109"/>
      <c r="AC242" s="109"/>
      <c r="AD242" s="109"/>
      <c r="AE242" s="109"/>
      <c r="AF242" s="109"/>
    </row>
    <row r="243" spans="1:32" ht="15">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c r="AA243" s="109"/>
      <c r="AB243" s="109"/>
      <c r="AC243" s="109"/>
      <c r="AD243" s="109"/>
      <c r="AE243" s="109"/>
      <c r="AF243" s="109"/>
    </row>
    <row r="244" spans="1:32" ht="15">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c r="AA244" s="109"/>
      <c r="AB244" s="109"/>
      <c r="AC244" s="109"/>
      <c r="AD244" s="109"/>
      <c r="AE244" s="109"/>
      <c r="AF244" s="109"/>
    </row>
    <row r="245" spans="1:32" ht="1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c r="AA245" s="109"/>
      <c r="AB245" s="109"/>
      <c r="AC245" s="109"/>
      <c r="AD245" s="109"/>
      <c r="AE245" s="109"/>
      <c r="AF245" s="109"/>
    </row>
    <row r="246" spans="1:32" ht="15">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c r="AA246" s="109"/>
      <c r="AB246" s="109"/>
      <c r="AC246" s="109"/>
      <c r="AD246" s="109"/>
      <c r="AE246" s="109"/>
      <c r="AF246" s="109"/>
    </row>
    <row r="247" spans="1:32" ht="15">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c r="AA247" s="109"/>
      <c r="AB247" s="109"/>
      <c r="AC247" s="109"/>
      <c r="AD247" s="109"/>
      <c r="AE247" s="109"/>
      <c r="AF247" s="109"/>
    </row>
    <row r="248" spans="1:32" ht="15">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c r="AA248" s="109"/>
      <c r="AB248" s="109"/>
      <c r="AC248" s="109"/>
      <c r="AD248" s="109"/>
      <c r="AE248" s="109"/>
      <c r="AF248" s="109"/>
    </row>
    <row r="249" spans="1:32" ht="15">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c r="AA249" s="109"/>
      <c r="AB249" s="109"/>
      <c r="AC249" s="109"/>
      <c r="AD249" s="109"/>
      <c r="AE249" s="109"/>
      <c r="AF249" s="109"/>
    </row>
    <row r="250" spans="1:32" ht="15">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c r="AA250" s="109"/>
      <c r="AB250" s="109"/>
      <c r="AC250" s="109"/>
      <c r="AD250" s="109"/>
      <c r="AE250" s="109"/>
      <c r="AF250" s="109"/>
    </row>
    <row r="251" spans="1:32" ht="15">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c r="AA251" s="109"/>
      <c r="AB251" s="109"/>
      <c r="AC251" s="109"/>
      <c r="AD251" s="109"/>
      <c r="AE251" s="109"/>
      <c r="AF251" s="109"/>
    </row>
    <row r="252" spans="1:32" ht="15">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c r="AA252" s="109"/>
      <c r="AB252" s="109"/>
      <c r="AC252" s="109"/>
      <c r="AD252" s="109"/>
      <c r="AE252" s="109"/>
      <c r="AF252" s="109"/>
    </row>
    <row r="253" spans="1:32" ht="15">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c r="AA253" s="109"/>
      <c r="AB253" s="109"/>
      <c r="AC253" s="109"/>
      <c r="AD253" s="109"/>
      <c r="AE253" s="109"/>
      <c r="AF253" s="109"/>
    </row>
    <row r="254" spans="1:32" ht="15">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c r="AA254" s="109"/>
      <c r="AB254" s="109"/>
      <c r="AC254" s="109"/>
      <c r="AD254" s="109"/>
      <c r="AE254" s="109"/>
      <c r="AF254" s="109"/>
    </row>
    <row r="255" spans="1:32" ht="1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c r="AA255" s="109"/>
      <c r="AB255" s="109"/>
      <c r="AC255" s="109"/>
      <c r="AD255" s="109"/>
      <c r="AE255" s="109"/>
      <c r="AF255" s="109"/>
    </row>
    <row r="256" spans="1:32" ht="15">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c r="AA256" s="109"/>
      <c r="AB256" s="109"/>
      <c r="AC256" s="109"/>
      <c r="AD256" s="109"/>
      <c r="AE256" s="109"/>
      <c r="AF256" s="109"/>
    </row>
    <row r="257" spans="1:32" ht="15">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c r="AA257" s="109"/>
      <c r="AB257" s="109"/>
      <c r="AC257" s="109"/>
      <c r="AD257" s="109"/>
      <c r="AE257" s="109"/>
      <c r="AF257" s="109"/>
    </row>
    <row r="258" spans="1:32" ht="15">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c r="AA258" s="109"/>
      <c r="AB258" s="109"/>
      <c r="AC258" s="109"/>
      <c r="AD258" s="109"/>
      <c r="AE258" s="109"/>
      <c r="AF258" s="109"/>
    </row>
    <row r="259" spans="1:32" ht="15">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c r="AA259" s="109"/>
      <c r="AB259" s="109"/>
      <c r="AC259" s="109"/>
      <c r="AD259" s="109"/>
      <c r="AE259" s="109"/>
      <c r="AF259" s="109"/>
    </row>
    <row r="260" spans="1:32" ht="15">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c r="AA260" s="109"/>
      <c r="AB260" s="109"/>
      <c r="AC260" s="109"/>
      <c r="AD260" s="109"/>
      <c r="AE260" s="109"/>
      <c r="AF260" s="109"/>
    </row>
    <row r="261" spans="1:32" ht="15">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c r="AA261" s="109"/>
      <c r="AB261" s="109"/>
      <c r="AC261" s="109"/>
      <c r="AD261" s="109"/>
      <c r="AE261" s="109"/>
      <c r="AF261" s="109"/>
    </row>
    <row r="262" spans="1:32" ht="15">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c r="AA262" s="109"/>
      <c r="AB262" s="109"/>
      <c r="AC262" s="109"/>
      <c r="AD262" s="109"/>
      <c r="AE262" s="109"/>
      <c r="AF262" s="109"/>
    </row>
    <row r="263" spans="1:32" ht="15">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c r="AA263" s="109"/>
      <c r="AB263" s="109"/>
      <c r="AC263" s="109"/>
      <c r="AD263" s="109"/>
      <c r="AE263" s="109"/>
      <c r="AF263" s="109"/>
    </row>
    <row r="264" spans="1:32" ht="15">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c r="AA264" s="109"/>
      <c r="AB264" s="109"/>
      <c r="AC264" s="109"/>
      <c r="AD264" s="109"/>
      <c r="AE264" s="109"/>
      <c r="AF264" s="109"/>
    </row>
    <row r="265" spans="1:32" ht="1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c r="AA265" s="109"/>
      <c r="AB265" s="109"/>
      <c r="AC265" s="109"/>
      <c r="AD265" s="109"/>
      <c r="AE265" s="109"/>
      <c r="AF265" s="109"/>
    </row>
    <row r="266" spans="1:32" ht="15">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c r="AA266" s="109"/>
      <c r="AB266" s="109"/>
      <c r="AC266" s="109"/>
      <c r="AD266" s="109"/>
      <c r="AE266" s="109"/>
      <c r="AF266" s="109"/>
    </row>
    <row r="267" spans="1:32" ht="15">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c r="AA267" s="109"/>
      <c r="AB267" s="109"/>
      <c r="AC267" s="109"/>
      <c r="AD267" s="109"/>
      <c r="AE267" s="109"/>
      <c r="AF267" s="109"/>
    </row>
    <row r="268" spans="1:32" ht="15">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c r="AA268" s="109"/>
      <c r="AB268" s="109"/>
      <c r="AC268" s="109"/>
      <c r="AD268" s="109"/>
      <c r="AE268" s="109"/>
      <c r="AF268" s="109"/>
    </row>
    <row r="269" spans="1:32" ht="15">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c r="AA269" s="109"/>
      <c r="AB269" s="109"/>
      <c r="AC269" s="109"/>
      <c r="AD269" s="109"/>
      <c r="AE269" s="109"/>
      <c r="AF269" s="109"/>
    </row>
    <row r="270" spans="1:32" ht="15">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c r="AA270" s="109"/>
      <c r="AB270" s="109"/>
      <c r="AC270" s="109"/>
      <c r="AD270" s="109"/>
      <c r="AE270" s="109"/>
      <c r="AF270" s="109"/>
    </row>
    <row r="271" spans="1:32" ht="15">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c r="AA271" s="109"/>
      <c r="AB271" s="109"/>
      <c r="AC271" s="109"/>
      <c r="AD271" s="109"/>
      <c r="AE271" s="109"/>
      <c r="AF271" s="109"/>
    </row>
    <row r="272" spans="1:32" ht="15">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c r="AA272" s="109"/>
      <c r="AB272" s="109"/>
      <c r="AC272" s="109"/>
      <c r="AD272" s="109"/>
      <c r="AE272" s="109"/>
      <c r="AF272" s="109"/>
    </row>
    <row r="273" spans="1:32" ht="15">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c r="AA273" s="109"/>
      <c r="AB273" s="109"/>
      <c r="AC273" s="109"/>
      <c r="AD273" s="109"/>
      <c r="AE273" s="109"/>
      <c r="AF273" s="109"/>
    </row>
    <row r="274" spans="1:32" ht="15">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c r="AA274" s="109"/>
      <c r="AB274" s="109"/>
      <c r="AC274" s="109"/>
      <c r="AD274" s="109"/>
      <c r="AE274" s="109"/>
      <c r="AF274" s="109"/>
    </row>
    <row r="275" spans="1:32" ht="1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c r="AA275" s="109"/>
      <c r="AB275" s="109"/>
      <c r="AC275" s="109"/>
      <c r="AD275" s="109"/>
      <c r="AE275" s="109"/>
      <c r="AF275" s="109"/>
    </row>
    <row r="276" spans="1:32" ht="15">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c r="AA276" s="109"/>
      <c r="AB276" s="109"/>
      <c r="AC276" s="109"/>
      <c r="AD276" s="109"/>
      <c r="AE276" s="109"/>
      <c r="AF276" s="109"/>
    </row>
    <row r="277" spans="1:32" ht="15">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c r="AA277" s="109"/>
      <c r="AB277" s="109"/>
      <c r="AC277" s="109"/>
      <c r="AD277" s="109"/>
      <c r="AE277" s="109"/>
      <c r="AF277" s="109"/>
    </row>
    <row r="278" spans="1:32" ht="15">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c r="AA278" s="109"/>
      <c r="AB278" s="109"/>
      <c r="AC278" s="109"/>
      <c r="AD278" s="109"/>
      <c r="AE278" s="109"/>
      <c r="AF278" s="109"/>
    </row>
    <row r="279" spans="1:32" ht="15">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c r="AA279" s="109"/>
      <c r="AB279" s="109"/>
      <c r="AC279" s="109"/>
      <c r="AD279" s="109"/>
      <c r="AE279" s="109"/>
      <c r="AF279" s="109"/>
    </row>
    <row r="280" spans="1:32" ht="15">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c r="AA280" s="109"/>
      <c r="AB280" s="109"/>
      <c r="AC280" s="109"/>
      <c r="AD280" s="109"/>
      <c r="AE280" s="109"/>
      <c r="AF280" s="109"/>
    </row>
    <row r="281" spans="1:32" ht="15">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c r="AA281" s="109"/>
      <c r="AB281" s="109"/>
      <c r="AC281" s="109"/>
      <c r="AD281" s="109"/>
      <c r="AE281" s="109"/>
      <c r="AF281" s="109"/>
    </row>
    <row r="282" spans="1:32" ht="15">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c r="AA282" s="109"/>
      <c r="AB282" s="109"/>
      <c r="AC282" s="109"/>
      <c r="AD282" s="109"/>
      <c r="AE282" s="109"/>
      <c r="AF282" s="109"/>
    </row>
    <row r="283" spans="1:32" ht="15">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c r="AA283" s="109"/>
      <c r="AB283" s="109"/>
      <c r="AC283" s="109"/>
      <c r="AD283" s="109"/>
      <c r="AE283" s="109"/>
      <c r="AF283" s="109"/>
    </row>
    <row r="284" spans="1:32" ht="15">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c r="AA284" s="109"/>
      <c r="AB284" s="109"/>
      <c r="AC284" s="109"/>
      <c r="AD284" s="109"/>
      <c r="AE284" s="109"/>
      <c r="AF284" s="109"/>
    </row>
    <row r="285" spans="1:32" ht="1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c r="AA285" s="109"/>
      <c r="AB285" s="109"/>
      <c r="AC285" s="109"/>
      <c r="AD285" s="109"/>
      <c r="AE285" s="109"/>
      <c r="AF285" s="109"/>
    </row>
    <row r="286" spans="1:32" ht="15">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c r="AA286" s="109"/>
      <c r="AB286" s="109"/>
      <c r="AC286" s="109"/>
      <c r="AD286" s="109"/>
      <c r="AE286" s="109"/>
      <c r="AF286" s="109"/>
    </row>
    <row r="287" spans="1:32" ht="15">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c r="AA287" s="109"/>
      <c r="AB287" s="109"/>
      <c r="AC287" s="109"/>
      <c r="AD287" s="109"/>
      <c r="AE287" s="109"/>
      <c r="AF287" s="109"/>
    </row>
    <row r="288" spans="1:32" ht="15">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c r="AA288" s="109"/>
      <c r="AB288" s="109"/>
      <c r="AC288" s="109"/>
      <c r="AD288" s="109"/>
      <c r="AE288" s="109"/>
      <c r="AF288" s="109"/>
    </row>
    <row r="289" spans="1:32" ht="15">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c r="AA289" s="109"/>
      <c r="AB289" s="109"/>
      <c r="AC289" s="109"/>
      <c r="AD289" s="109"/>
      <c r="AE289" s="109"/>
      <c r="AF289" s="109"/>
    </row>
    <row r="290" spans="1:32" ht="15">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c r="AA290" s="109"/>
      <c r="AB290" s="109"/>
      <c r="AC290" s="109"/>
      <c r="AD290" s="109"/>
      <c r="AE290" s="109"/>
      <c r="AF290" s="109"/>
    </row>
    <row r="291" spans="1:32" ht="15">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c r="AA291" s="109"/>
      <c r="AB291" s="109"/>
      <c r="AC291" s="109"/>
      <c r="AD291" s="109"/>
      <c r="AE291" s="109"/>
      <c r="AF291" s="109"/>
    </row>
    <row r="292" spans="1:32" ht="15">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c r="AA292" s="109"/>
      <c r="AB292" s="109"/>
      <c r="AC292" s="109"/>
      <c r="AD292" s="109"/>
      <c r="AE292" s="109"/>
      <c r="AF292" s="109"/>
    </row>
    <row r="293" spans="1:32" ht="15">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c r="AA293" s="109"/>
      <c r="AB293" s="109"/>
      <c r="AC293" s="109"/>
      <c r="AD293" s="109"/>
      <c r="AE293" s="109"/>
      <c r="AF293" s="109"/>
    </row>
    <row r="294" spans="1:32" ht="15">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c r="AA294" s="109"/>
      <c r="AB294" s="109"/>
      <c r="AC294" s="109"/>
      <c r="AD294" s="109"/>
      <c r="AE294" s="109"/>
      <c r="AF294" s="109"/>
    </row>
    <row r="295" spans="1:32" ht="1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c r="AA295" s="109"/>
      <c r="AB295" s="109"/>
      <c r="AC295" s="109"/>
      <c r="AD295" s="109"/>
      <c r="AE295" s="109"/>
      <c r="AF295" s="109"/>
    </row>
    <row r="296" spans="1:32" ht="15">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c r="AA296" s="109"/>
      <c r="AB296" s="109"/>
      <c r="AC296" s="109"/>
      <c r="AD296" s="109"/>
      <c r="AE296" s="109"/>
      <c r="AF296" s="109"/>
    </row>
    <row r="297" spans="1:32" ht="15">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c r="AA297" s="109"/>
      <c r="AB297" s="109"/>
      <c r="AC297" s="109"/>
      <c r="AD297" s="109"/>
      <c r="AE297" s="109"/>
      <c r="AF297" s="109"/>
    </row>
    <row r="298" spans="1:32" ht="15">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c r="AA298" s="109"/>
      <c r="AB298" s="109"/>
      <c r="AC298" s="109"/>
      <c r="AD298" s="109"/>
      <c r="AE298" s="109"/>
      <c r="AF298" s="109"/>
    </row>
    <row r="299" spans="1:32" ht="15">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c r="AA299" s="109"/>
      <c r="AB299" s="109"/>
      <c r="AC299" s="109"/>
      <c r="AD299" s="109"/>
      <c r="AE299" s="109"/>
      <c r="AF299" s="109"/>
    </row>
    <row r="300" spans="1:32" ht="15">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c r="AA300" s="109"/>
      <c r="AB300" s="109"/>
      <c r="AC300" s="109"/>
      <c r="AD300" s="109"/>
      <c r="AE300" s="109"/>
      <c r="AF300" s="109"/>
    </row>
    <row r="301" spans="1:32" ht="15">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c r="AA301" s="109"/>
      <c r="AB301" s="109"/>
      <c r="AC301" s="109"/>
      <c r="AD301" s="109"/>
      <c r="AE301" s="109"/>
      <c r="AF301" s="109"/>
    </row>
    <row r="302" spans="1:32" ht="15">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c r="AA302" s="109"/>
      <c r="AB302" s="109"/>
      <c r="AC302" s="109"/>
      <c r="AD302" s="109"/>
      <c r="AE302" s="109"/>
      <c r="AF302" s="109"/>
    </row>
    <row r="303" spans="1:32" ht="15">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c r="AA303" s="109"/>
      <c r="AB303" s="109"/>
      <c r="AC303" s="109"/>
      <c r="AD303" s="109"/>
      <c r="AE303" s="109"/>
      <c r="AF303" s="109"/>
    </row>
    <row r="304" spans="1:32" ht="15">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c r="AA304" s="109"/>
      <c r="AB304" s="109"/>
      <c r="AC304" s="109"/>
      <c r="AD304" s="109"/>
      <c r="AE304" s="109"/>
      <c r="AF304" s="109"/>
    </row>
    <row r="305" spans="1:32" ht="1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c r="AA305" s="109"/>
      <c r="AB305" s="109"/>
      <c r="AC305" s="109"/>
      <c r="AD305" s="109"/>
      <c r="AE305" s="109"/>
      <c r="AF305" s="109"/>
    </row>
    <row r="306" spans="1:32" ht="15">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c r="AA306" s="109"/>
      <c r="AB306" s="109"/>
      <c r="AC306" s="109"/>
      <c r="AD306" s="109"/>
      <c r="AE306" s="109"/>
      <c r="AF306" s="109"/>
    </row>
    <row r="307" spans="1:32" ht="15">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c r="AA307" s="109"/>
      <c r="AB307" s="109"/>
      <c r="AC307" s="109"/>
      <c r="AD307" s="109"/>
      <c r="AE307" s="109"/>
      <c r="AF307" s="109"/>
    </row>
    <row r="308" spans="1:32" ht="15">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c r="AA308" s="109"/>
      <c r="AB308" s="109"/>
      <c r="AC308" s="109"/>
      <c r="AD308" s="109"/>
      <c r="AE308" s="109"/>
      <c r="AF308" s="109"/>
    </row>
    <row r="309" spans="1:32" ht="15">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c r="AA309" s="109"/>
      <c r="AB309" s="109"/>
      <c r="AC309" s="109"/>
      <c r="AD309" s="109"/>
      <c r="AE309" s="109"/>
      <c r="AF309" s="109"/>
    </row>
    <row r="310" spans="1:32" ht="15">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c r="AA310" s="109"/>
      <c r="AB310" s="109"/>
      <c r="AC310" s="109"/>
      <c r="AD310" s="109"/>
      <c r="AE310" s="109"/>
      <c r="AF310" s="109"/>
    </row>
    <row r="311" spans="1:32" ht="15">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c r="AA311" s="109"/>
      <c r="AB311" s="109"/>
      <c r="AC311" s="109"/>
      <c r="AD311" s="109"/>
      <c r="AE311" s="109"/>
      <c r="AF311" s="109"/>
    </row>
    <row r="312" spans="1:32" ht="15">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c r="AA312" s="109"/>
      <c r="AB312" s="109"/>
      <c r="AC312" s="109"/>
      <c r="AD312" s="109"/>
      <c r="AE312" s="109"/>
      <c r="AF312" s="109"/>
    </row>
    <row r="313" spans="1:32" ht="15">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c r="AA313" s="109"/>
      <c r="AB313" s="109"/>
      <c r="AC313" s="109"/>
      <c r="AD313" s="109"/>
      <c r="AE313" s="109"/>
      <c r="AF313" s="109"/>
    </row>
    <row r="314" spans="1:32" ht="15">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c r="AA314" s="109"/>
      <c r="AB314" s="109"/>
      <c r="AC314" s="109"/>
      <c r="AD314" s="109"/>
      <c r="AE314" s="109"/>
      <c r="AF314" s="109"/>
    </row>
    <row r="315" spans="1:32" ht="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c r="AA315" s="109"/>
      <c r="AB315" s="109"/>
      <c r="AC315" s="109"/>
      <c r="AD315" s="109"/>
      <c r="AE315" s="109"/>
      <c r="AF315" s="109"/>
    </row>
    <row r="316" spans="1:32" ht="15">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c r="AA316" s="109"/>
      <c r="AB316" s="109"/>
      <c r="AC316" s="109"/>
      <c r="AD316" s="109"/>
      <c r="AE316" s="109"/>
      <c r="AF316" s="109"/>
    </row>
    <row r="317" spans="1:32" ht="15">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c r="AA317" s="109"/>
      <c r="AB317" s="109"/>
      <c r="AC317" s="109"/>
      <c r="AD317" s="109"/>
      <c r="AE317" s="109"/>
      <c r="AF317" s="109"/>
    </row>
    <row r="318" spans="1:32" ht="15">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c r="AA318" s="109"/>
      <c r="AB318" s="109"/>
      <c r="AC318" s="109"/>
      <c r="AD318" s="109"/>
      <c r="AE318" s="109"/>
      <c r="AF318" s="109"/>
    </row>
    <row r="319" spans="1:32" ht="15">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c r="AA319" s="109"/>
      <c r="AB319" s="109"/>
      <c r="AC319" s="109"/>
      <c r="AD319" s="109"/>
      <c r="AE319" s="109"/>
      <c r="AF319" s="109"/>
    </row>
    <row r="320" spans="1:32" ht="15">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c r="AA320" s="109"/>
      <c r="AB320" s="109"/>
      <c r="AC320" s="109"/>
      <c r="AD320" s="109"/>
      <c r="AE320" s="109"/>
      <c r="AF320" s="109"/>
    </row>
    <row r="321" spans="1:32" ht="15">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c r="AA321" s="109"/>
      <c r="AB321" s="109"/>
      <c r="AC321" s="109"/>
      <c r="AD321" s="109"/>
      <c r="AE321" s="109"/>
      <c r="AF321" s="109"/>
    </row>
    <row r="322" spans="1:32" ht="15">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c r="AA322" s="109"/>
      <c r="AB322" s="109"/>
      <c r="AC322" s="109"/>
      <c r="AD322" s="109"/>
      <c r="AE322" s="109"/>
      <c r="AF322" s="109"/>
    </row>
    <row r="323" spans="1:32" ht="15">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c r="AA323" s="109"/>
      <c r="AB323" s="109"/>
      <c r="AC323" s="109"/>
      <c r="AD323" s="109"/>
      <c r="AE323" s="109"/>
      <c r="AF323" s="109"/>
    </row>
    <row r="324" spans="1:32" ht="15">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c r="AA324" s="109"/>
      <c r="AB324" s="109"/>
      <c r="AC324" s="109"/>
      <c r="AD324" s="109"/>
      <c r="AE324" s="109"/>
      <c r="AF324" s="109"/>
    </row>
    <row r="325" spans="1:32" ht="1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c r="AA325" s="109"/>
      <c r="AB325" s="109"/>
      <c r="AC325" s="109"/>
      <c r="AD325" s="109"/>
      <c r="AE325" s="109"/>
      <c r="AF325" s="109"/>
    </row>
    <row r="326" spans="1:32" ht="15">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c r="AA326" s="109"/>
      <c r="AB326" s="109"/>
      <c r="AC326" s="109"/>
      <c r="AD326" s="109"/>
      <c r="AE326" s="109"/>
      <c r="AF326" s="109"/>
    </row>
    <row r="327" spans="1:32" ht="15">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c r="AA327" s="109"/>
      <c r="AB327" s="109"/>
      <c r="AC327" s="109"/>
      <c r="AD327" s="109"/>
      <c r="AE327" s="109"/>
      <c r="AF327" s="109"/>
    </row>
    <row r="328" spans="1:32" ht="15">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c r="AA328" s="109"/>
      <c r="AB328" s="109"/>
      <c r="AC328" s="109"/>
      <c r="AD328" s="109"/>
      <c r="AE328" s="109"/>
      <c r="AF328" s="109"/>
    </row>
    <row r="329" spans="1:32" ht="15">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c r="AA329" s="109"/>
      <c r="AB329" s="109"/>
      <c r="AC329" s="109"/>
      <c r="AD329" s="109"/>
      <c r="AE329" s="109"/>
      <c r="AF329" s="109"/>
    </row>
    <row r="330" spans="1:32" ht="15">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c r="AA330" s="109"/>
      <c r="AB330" s="109"/>
      <c r="AC330" s="109"/>
      <c r="AD330" s="109"/>
      <c r="AE330" s="109"/>
      <c r="AF330" s="109"/>
    </row>
    <row r="331" spans="1:32" ht="15">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c r="AA331" s="109"/>
      <c r="AB331" s="109"/>
      <c r="AC331" s="109"/>
      <c r="AD331" s="109"/>
      <c r="AE331" s="109"/>
      <c r="AF331" s="109"/>
    </row>
    <row r="332" spans="1:32" ht="15">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c r="AA332" s="109"/>
      <c r="AB332" s="109"/>
      <c r="AC332" s="109"/>
      <c r="AD332" s="109"/>
      <c r="AE332" s="109"/>
      <c r="AF332" s="109"/>
    </row>
    <row r="333" spans="1:32" ht="15">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c r="AA333" s="109"/>
      <c r="AB333" s="109"/>
      <c r="AC333" s="109"/>
      <c r="AD333" s="109"/>
      <c r="AE333" s="109"/>
      <c r="AF333" s="109"/>
    </row>
    <row r="334" spans="1:32" ht="15">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c r="AA334" s="109"/>
      <c r="AB334" s="109"/>
      <c r="AC334" s="109"/>
      <c r="AD334" s="109"/>
      <c r="AE334" s="109"/>
      <c r="AF334" s="109"/>
    </row>
    <row r="335" spans="1:32" ht="1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c r="AA335" s="109"/>
      <c r="AB335" s="109"/>
      <c r="AC335" s="109"/>
      <c r="AD335" s="109"/>
      <c r="AE335" s="109"/>
      <c r="AF335" s="109"/>
    </row>
    <row r="336" spans="1:32" ht="15">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c r="AA336" s="109"/>
      <c r="AB336" s="109"/>
      <c r="AC336" s="109"/>
      <c r="AD336" s="109"/>
      <c r="AE336" s="109"/>
      <c r="AF336" s="109"/>
    </row>
    <row r="337" spans="1:32" ht="15">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c r="AA337" s="109"/>
      <c r="AB337" s="109"/>
      <c r="AC337" s="109"/>
      <c r="AD337" s="109"/>
      <c r="AE337" s="109"/>
      <c r="AF337" s="109"/>
    </row>
    <row r="338" spans="1:32" ht="15">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c r="AA338" s="109"/>
      <c r="AB338" s="109"/>
      <c r="AC338" s="109"/>
      <c r="AD338" s="109"/>
      <c r="AE338" s="109"/>
      <c r="AF338" s="109"/>
    </row>
    <row r="339" spans="1:32" ht="15">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c r="AA339" s="109"/>
      <c r="AB339" s="109"/>
      <c r="AC339" s="109"/>
      <c r="AD339" s="109"/>
      <c r="AE339" s="109"/>
      <c r="AF339" s="109"/>
    </row>
    <row r="340" spans="1:32" ht="15">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c r="AA340" s="109"/>
      <c r="AB340" s="109"/>
      <c r="AC340" s="109"/>
      <c r="AD340" s="109"/>
      <c r="AE340" s="109"/>
      <c r="AF340" s="109"/>
    </row>
    <row r="341" spans="1:32" ht="15">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c r="AA341" s="109"/>
      <c r="AB341" s="109"/>
      <c r="AC341" s="109"/>
      <c r="AD341" s="109"/>
      <c r="AE341" s="109"/>
      <c r="AF341" s="109"/>
    </row>
    <row r="342" spans="1:32" ht="15">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c r="AA342" s="109"/>
      <c r="AB342" s="109"/>
      <c r="AC342" s="109"/>
      <c r="AD342" s="109"/>
      <c r="AE342" s="109"/>
      <c r="AF342" s="109"/>
    </row>
    <row r="343" spans="1:32" ht="15">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c r="AA343" s="109"/>
      <c r="AB343" s="109"/>
      <c r="AC343" s="109"/>
      <c r="AD343" s="109"/>
      <c r="AE343" s="109"/>
      <c r="AF343" s="109"/>
    </row>
    <row r="344" spans="1:32" ht="15">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c r="AA344" s="109"/>
      <c r="AB344" s="109"/>
      <c r="AC344" s="109"/>
      <c r="AD344" s="109"/>
      <c r="AE344" s="109"/>
      <c r="AF344" s="109"/>
    </row>
    <row r="345" spans="1:32" ht="1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c r="AA345" s="109"/>
      <c r="AB345" s="109"/>
      <c r="AC345" s="109"/>
      <c r="AD345" s="109"/>
      <c r="AE345" s="109"/>
      <c r="AF345" s="109"/>
    </row>
    <row r="346" spans="1:32" ht="15">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c r="AA346" s="109"/>
      <c r="AB346" s="109"/>
      <c r="AC346" s="109"/>
      <c r="AD346" s="109"/>
      <c r="AE346" s="109"/>
      <c r="AF346" s="109"/>
    </row>
    <row r="347" spans="1:32" ht="15">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c r="AA347" s="109"/>
      <c r="AB347" s="109"/>
      <c r="AC347" s="109"/>
      <c r="AD347" s="109"/>
      <c r="AE347" s="109"/>
      <c r="AF347" s="109"/>
    </row>
    <row r="348" spans="1:32" ht="15">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c r="AA348" s="109"/>
      <c r="AB348" s="109"/>
      <c r="AC348" s="109"/>
      <c r="AD348" s="109"/>
      <c r="AE348" s="109"/>
      <c r="AF348" s="109"/>
    </row>
    <row r="349" spans="1:32" ht="15">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c r="AA349" s="109"/>
      <c r="AB349" s="109"/>
      <c r="AC349" s="109"/>
      <c r="AD349" s="109"/>
      <c r="AE349" s="109"/>
      <c r="AF349" s="109"/>
    </row>
    <row r="350" spans="1:32" ht="15">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c r="AA350" s="109"/>
      <c r="AB350" s="109"/>
      <c r="AC350" s="109"/>
      <c r="AD350" s="109"/>
      <c r="AE350" s="109"/>
      <c r="AF350" s="109"/>
    </row>
    <row r="351" spans="1:32" ht="15">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c r="AA351" s="109"/>
      <c r="AB351" s="109"/>
      <c r="AC351" s="109"/>
      <c r="AD351" s="109"/>
      <c r="AE351" s="109"/>
      <c r="AF351" s="109"/>
    </row>
    <row r="352" spans="1:32" ht="15">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c r="AA352" s="109"/>
      <c r="AB352" s="109"/>
      <c r="AC352" s="109"/>
      <c r="AD352" s="109"/>
      <c r="AE352" s="109"/>
      <c r="AF352" s="109"/>
    </row>
    <row r="353" spans="1:32" ht="15">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c r="AA353" s="109"/>
      <c r="AB353" s="109"/>
      <c r="AC353" s="109"/>
      <c r="AD353" s="109"/>
      <c r="AE353" s="109"/>
      <c r="AF353" s="109"/>
    </row>
    <row r="354" spans="1:32" ht="15">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c r="AA354" s="109"/>
      <c r="AB354" s="109"/>
      <c r="AC354" s="109"/>
      <c r="AD354" s="109"/>
      <c r="AE354" s="109"/>
      <c r="AF354" s="109"/>
    </row>
    <row r="355" spans="1:32" ht="1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c r="AA355" s="109"/>
      <c r="AB355" s="109"/>
      <c r="AC355" s="109"/>
      <c r="AD355" s="109"/>
      <c r="AE355" s="109"/>
      <c r="AF355" s="109"/>
    </row>
    <row r="356" spans="1:32" ht="15">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c r="AA356" s="109"/>
      <c r="AB356" s="109"/>
      <c r="AC356" s="109"/>
      <c r="AD356" s="109"/>
      <c r="AE356" s="109"/>
      <c r="AF356" s="109"/>
    </row>
    <row r="357" spans="1:32" ht="15">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c r="AA357" s="109"/>
      <c r="AB357" s="109"/>
      <c r="AC357" s="109"/>
      <c r="AD357" s="109"/>
      <c r="AE357" s="109"/>
      <c r="AF357" s="109"/>
    </row>
    <row r="358" spans="1:32" ht="15">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c r="AA358" s="109"/>
      <c r="AB358" s="109"/>
      <c r="AC358" s="109"/>
      <c r="AD358" s="109"/>
      <c r="AE358" s="109"/>
      <c r="AF358" s="109"/>
    </row>
    <row r="359" spans="1:32" ht="15">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c r="AA359" s="109"/>
      <c r="AB359" s="109"/>
      <c r="AC359" s="109"/>
      <c r="AD359" s="109"/>
      <c r="AE359" s="109"/>
      <c r="AF359" s="109"/>
    </row>
    <row r="360" spans="1:32" ht="15">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c r="AA360" s="109"/>
      <c r="AB360" s="109"/>
      <c r="AC360" s="109"/>
      <c r="AD360" s="109"/>
      <c r="AE360" s="109"/>
      <c r="AF360" s="109"/>
    </row>
    <row r="361" spans="1:32" ht="15">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c r="AA361" s="109"/>
      <c r="AB361" s="109"/>
      <c r="AC361" s="109"/>
      <c r="AD361" s="109"/>
      <c r="AE361" s="109"/>
      <c r="AF361" s="109"/>
    </row>
    <row r="362" spans="1:32" ht="15">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c r="AA362" s="109"/>
      <c r="AB362" s="109"/>
      <c r="AC362" s="109"/>
      <c r="AD362" s="109"/>
      <c r="AE362" s="109"/>
      <c r="AF362" s="109"/>
    </row>
    <row r="363" spans="1:32" ht="15">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c r="AA363" s="109"/>
      <c r="AB363" s="109"/>
      <c r="AC363" s="109"/>
      <c r="AD363" s="109"/>
      <c r="AE363" s="109"/>
      <c r="AF363" s="109"/>
    </row>
    <row r="364" spans="1:32" ht="15">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c r="AA364" s="109"/>
      <c r="AB364" s="109"/>
      <c r="AC364" s="109"/>
      <c r="AD364" s="109"/>
      <c r="AE364" s="109"/>
      <c r="AF364" s="109"/>
    </row>
    <row r="365" spans="1:32" ht="1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c r="AA365" s="109"/>
      <c r="AB365" s="109"/>
      <c r="AC365" s="109"/>
      <c r="AD365" s="109"/>
      <c r="AE365" s="109"/>
      <c r="AF365" s="109"/>
    </row>
    <row r="366" spans="1:32" ht="15">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c r="AA366" s="109"/>
      <c r="AB366" s="109"/>
      <c r="AC366" s="109"/>
      <c r="AD366" s="109"/>
      <c r="AE366" s="109"/>
      <c r="AF366" s="109"/>
    </row>
    <row r="367" spans="1:32" ht="15">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c r="AA367" s="109"/>
      <c r="AB367" s="109"/>
      <c r="AC367" s="109"/>
      <c r="AD367" s="109"/>
      <c r="AE367" s="109"/>
      <c r="AF367" s="109"/>
    </row>
    <row r="368" spans="1:32" ht="15">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c r="AA368" s="109"/>
      <c r="AB368" s="109"/>
      <c r="AC368" s="109"/>
      <c r="AD368" s="109"/>
      <c r="AE368" s="109"/>
      <c r="AF368" s="109"/>
    </row>
    <row r="369" spans="1:32" ht="15">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c r="AA369" s="109"/>
      <c r="AB369" s="109"/>
      <c r="AC369" s="109"/>
      <c r="AD369" s="109"/>
      <c r="AE369" s="109"/>
      <c r="AF369" s="109"/>
    </row>
    <row r="370" spans="1:32" ht="15">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c r="AA370" s="109"/>
      <c r="AB370" s="109"/>
      <c r="AC370" s="109"/>
      <c r="AD370" s="109"/>
      <c r="AE370" s="109"/>
      <c r="AF370" s="109"/>
    </row>
    <row r="371" spans="1:32" ht="15">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c r="AA371" s="109"/>
      <c r="AB371" s="109"/>
      <c r="AC371" s="109"/>
      <c r="AD371" s="109"/>
      <c r="AE371" s="109"/>
      <c r="AF371" s="109"/>
    </row>
    <row r="372" spans="1:32" ht="15">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c r="AA372" s="109"/>
      <c r="AB372" s="109"/>
      <c r="AC372" s="109"/>
      <c r="AD372" s="109"/>
      <c r="AE372" s="109"/>
      <c r="AF372" s="109"/>
    </row>
    <row r="373" spans="1:32" ht="15">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c r="AA373" s="109"/>
      <c r="AB373" s="109"/>
      <c r="AC373" s="109"/>
      <c r="AD373" s="109"/>
      <c r="AE373" s="109"/>
      <c r="AF373" s="109"/>
    </row>
    <row r="374" spans="1:32" ht="15">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c r="AA374" s="109"/>
      <c r="AB374" s="109"/>
      <c r="AC374" s="109"/>
      <c r="AD374" s="109"/>
      <c r="AE374" s="109"/>
      <c r="AF374" s="109"/>
    </row>
    <row r="375" spans="1:32" ht="1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c r="AA375" s="109"/>
      <c r="AB375" s="109"/>
      <c r="AC375" s="109"/>
      <c r="AD375" s="109"/>
      <c r="AE375" s="109"/>
      <c r="AF375" s="109"/>
    </row>
    <row r="376" spans="1:32" ht="15">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c r="AA376" s="109"/>
      <c r="AB376" s="109"/>
      <c r="AC376" s="109"/>
      <c r="AD376" s="109"/>
      <c r="AE376" s="109"/>
      <c r="AF376" s="109"/>
    </row>
    <row r="377" spans="1:32" ht="15">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c r="AA377" s="109"/>
      <c r="AB377" s="109"/>
      <c r="AC377" s="109"/>
      <c r="AD377" s="109"/>
      <c r="AE377" s="109"/>
      <c r="AF377" s="109"/>
    </row>
    <row r="378" spans="1:32" ht="15">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c r="AA378" s="109"/>
      <c r="AB378" s="109"/>
      <c r="AC378" s="109"/>
      <c r="AD378" s="109"/>
      <c r="AE378" s="109"/>
      <c r="AF378" s="109"/>
    </row>
    <row r="379" spans="1:32" ht="15">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c r="AA379" s="109"/>
      <c r="AB379" s="109"/>
      <c r="AC379" s="109"/>
      <c r="AD379" s="109"/>
      <c r="AE379" s="109"/>
      <c r="AF379" s="109"/>
    </row>
    <row r="380" spans="1:32" ht="15">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c r="AA380" s="109"/>
      <c r="AB380" s="109"/>
      <c r="AC380" s="109"/>
      <c r="AD380" s="109"/>
      <c r="AE380" s="109"/>
      <c r="AF380" s="109"/>
    </row>
    <row r="381" spans="1:32" ht="15">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c r="AA381" s="109"/>
      <c r="AB381" s="109"/>
      <c r="AC381" s="109"/>
      <c r="AD381" s="109"/>
      <c r="AE381" s="109"/>
      <c r="AF381" s="109"/>
    </row>
    <row r="382" spans="1:32" ht="15">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c r="AA382" s="109"/>
      <c r="AB382" s="109"/>
      <c r="AC382" s="109"/>
      <c r="AD382" s="109"/>
      <c r="AE382" s="109"/>
      <c r="AF382" s="109"/>
    </row>
    <row r="383" spans="1:32" ht="15">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c r="AA383" s="109"/>
      <c r="AB383" s="109"/>
      <c r="AC383" s="109"/>
      <c r="AD383" s="109"/>
      <c r="AE383" s="109"/>
      <c r="AF383" s="109"/>
    </row>
    <row r="384" spans="1:32" ht="15">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c r="AA384" s="109"/>
      <c r="AB384" s="109"/>
      <c r="AC384" s="109"/>
      <c r="AD384" s="109"/>
      <c r="AE384" s="109"/>
      <c r="AF384" s="109"/>
    </row>
    <row r="385" spans="1:32" ht="1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c r="AA385" s="109"/>
      <c r="AB385" s="109"/>
      <c r="AC385" s="109"/>
      <c r="AD385" s="109"/>
      <c r="AE385" s="109"/>
      <c r="AF385" s="109"/>
    </row>
    <row r="386" spans="1:32" ht="15">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c r="AA386" s="109"/>
      <c r="AB386" s="109"/>
      <c r="AC386" s="109"/>
      <c r="AD386" s="109"/>
      <c r="AE386" s="109"/>
      <c r="AF386" s="109"/>
    </row>
    <row r="387" spans="1:32" ht="15">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c r="AA387" s="109"/>
      <c r="AB387" s="109"/>
      <c r="AC387" s="109"/>
      <c r="AD387" s="109"/>
      <c r="AE387" s="109"/>
      <c r="AF387" s="109"/>
    </row>
    <row r="388" spans="1:32" ht="15">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c r="AA388" s="109"/>
      <c r="AB388" s="109"/>
      <c r="AC388" s="109"/>
      <c r="AD388" s="109"/>
      <c r="AE388" s="109"/>
      <c r="AF388" s="109"/>
    </row>
    <row r="389" spans="1:32" ht="15">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c r="AA389" s="109"/>
      <c r="AB389" s="109"/>
      <c r="AC389" s="109"/>
      <c r="AD389" s="109"/>
      <c r="AE389" s="109"/>
      <c r="AF389" s="109"/>
    </row>
    <row r="390" spans="1:32" ht="15">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c r="AA390" s="109"/>
      <c r="AB390" s="109"/>
      <c r="AC390" s="109"/>
      <c r="AD390" s="109"/>
      <c r="AE390" s="109"/>
      <c r="AF390" s="109"/>
    </row>
    <row r="391" spans="1:32" ht="15">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c r="AA391" s="109"/>
      <c r="AB391" s="109"/>
      <c r="AC391" s="109"/>
      <c r="AD391" s="109"/>
      <c r="AE391" s="109"/>
      <c r="AF391" s="109"/>
    </row>
    <row r="392" spans="1:32" ht="15">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c r="AA392" s="109"/>
      <c r="AB392" s="109"/>
      <c r="AC392" s="109"/>
      <c r="AD392" s="109"/>
      <c r="AE392" s="109"/>
      <c r="AF392" s="109"/>
    </row>
    <row r="393" spans="1:32" ht="15">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c r="AA393" s="109"/>
      <c r="AB393" s="109"/>
      <c r="AC393" s="109"/>
      <c r="AD393" s="109"/>
      <c r="AE393" s="109"/>
      <c r="AF393" s="109"/>
    </row>
    <row r="394" spans="1:32" ht="15">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c r="AA394" s="109"/>
      <c r="AB394" s="109"/>
      <c r="AC394" s="109"/>
      <c r="AD394" s="109"/>
      <c r="AE394" s="109"/>
      <c r="AF394" s="109"/>
    </row>
    <row r="395" spans="1:32" ht="1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c r="AA395" s="109"/>
      <c r="AB395" s="109"/>
      <c r="AC395" s="109"/>
      <c r="AD395" s="109"/>
      <c r="AE395" s="109"/>
      <c r="AF395" s="109"/>
    </row>
    <row r="396" spans="1:32" ht="15">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c r="AA396" s="109"/>
      <c r="AB396" s="109"/>
      <c r="AC396" s="109"/>
      <c r="AD396" s="109"/>
      <c r="AE396" s="109"/>
      <c r="AF396" s="109"/>
    </row>
    <row r="397" spans="1:32" ht="15">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c r="AA397" s="109"/>
      <c r="AB397" s="109"/>
      <c r="AC397" s="109"/>
      <c r="AD397" s="109"/>
      <c r="AE397" s="109"/>
      <c r="AF397" s="109"/>
    </row>
    <row r="398" spans="1:32" ht="15">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c r="AA398" s="109"/>
      <c r="AB398" s="109"/>
      <c r="AC398" s="109"/>
      <c r="AD398" s="109"/>
      <c r="AE398" s="109"/>
      <c r="AF398" s="109"/>
    </row>
    <row r="399" spans="1:32" ht="15">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c r="AA399" s="109"/>
      <c r="AB399" s="109"/>
      <c r="AC399" s="109"/>
      <c r="AD399" s="109"/>
      <c r="AE399" s="109"/>
      <c r="AF399" s="109"/>
    </row>
    <row r="400" spans="1:32" ht="15">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c r="AA400" s="109"/>
      <c r="AB400" s="109"/>
      <c r="AC400" s="109"/>
      <c r="AD400" s="109"/>
      <c r="AE400" s="109"/>
      <c r="AF400" s="109"/>
    </row>
    <row r="401" spans="1:32" ht="15">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c r="AA401" s="109"/>
      <c r="AB401" s="109"/>
      <c r="AC401" s="109"/>
      <c r="AD401" s="109"/>
      <c r="AE401" s="109"/>
      <c r="AF401" s="109"/>
    </row>
    <row r="402" spans="1:32" ht="15">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c r="AA402" s="109"/>
      <c r="AB402" s="109"/>
      <c r="AC402" s="109"/>
      <c r="AD402" s="109"/>
      <c r="AE402" s="109"/>
      <c r="AF402" s="109"/>
    </row>
    <row r="403" spans="1:32" ht="15">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c r="AA403" s="109"/>
      <c r="AB403" s="109"/>
      <c r="AC403" s="109"/>
      <c r="AD403" s="109"/>
      <c r="AE403" s="109"/>
      <c r="AF403" s="109"/>
    </row>
    <row r="404" spans="1:32" ht="15">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c r="AA404" s="109"/>
      <c r="AB404" s="109"/>
      <c r="AC404" s="109"/>
      <c r="AD404" s="109"/>
      <c r="AE404" s="109"/>
      <c r="AF404" s="109"/>
    </row>
    <row r="405" spans="1:32" ht="1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c r="AA405" s="109"/>
      <c r="AB405" s="109"/>
      <c r="AC405" s="109"/>
      <c r="AD405" s="109"/>
      <c r="AE405" s="109"/>
      <c r="AF405" s="109"/>
    </row>
    <row r="406" spans="1:32" ht="15">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c r="AA406" s="109"/>
      <c r="AB406" s="109"/>
      <c r="AC406" s="109"/>
      <c r="AD406" s="109"/>
      <c r="AE406" s="109"/>
      <c r="AF406" s="109"/>
    </row>
    <row r="407" spans="1:32" ht="15">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c r="AA407" s="109"/>
      <c r="AB407" s="109"/>
      <c r="AC407" s="109"/>
      <c r="AD407" s="109"/>
      <c r="AE407" s="109"/>
      <c r="AF407" s="109"/>
    </row>
    <row r="408" spans="1:32" ht="15">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c r="AA408" s="109"/>
      <c r="AB408" s="109"/>
      <c r="AC408" s="109"/>
      <c r="AD408" s="109"/>
      <c r="AE408" s="109"/>
      <c r="AF408" s="109"/>
    </row>
    <row r="409" spans="1:32" ht="15">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c r="AA409" s="109"/>
      <c r="AB409" s="109"/>
      <c r="AC409" s="109"/>
      <c r="AD409" s="109"/>
      <c r="AE409" s="109"/>
      <c r="AF409" s="109"/>
    </row>
    <row r="410" spans="1:32" ht="15">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c r="AA410" s="109"/>
      <c r="AB410" s="109"/>
      <c r="AC410" s="109"/>
      <c r="AD410" s="109"/>
      <c r="AE410" s="109"/>
      <c r="AF410" s="109"/>
    </row>
    <row r="411" spans="1:32" ht="15">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c r="AA411" s="109"/>
      <c r="AB411" s="109"/>
      <c r="AC411" s="109"/>
      <c r="AD411" s="109"/>
      <c r="AE411" s="109"/>
      <c r="AF411" s="109"/>
    </row>
    <row r="412" spans="1:32" ht="15">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c r="AA412" s="109"/>
      <c r="AB412" s="109"/>
      <c r="AC412" s="109"/>
      <c r="AD412" s="109"/>
      <c r="AE412" s="109"/>
      <c r="AF412" s="109"/>
    </row>
    <row r="413" spans="1:32" ht="15">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c r="AA413" s="109"/>
      <c r="AB413" s="109"/>
      <c r="AC413" s="109"/>
      <c r="AD413" s="109"/>
      <c r="AE413" s="109"/>
      <c r="AF413" s="109"/>
    </row>
    <row r="414" spans="1:32" ht="15">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c r="AA414" s="109"/>
      <c r="AB414" s="109"/>
      <c r="AC414" s="109"/>
      <c r="AD414" s="109"/>
      <c r="AE414" s="109"/>
      <c r="AF414" s="109"/>
    </row>
    <row r="415" spans="1:32" ht="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c r="AA415" s="109"/>
      <c r="AB415" s="109"/>
      <c r="AC415" s="109"/>
      <c r="AD415" s="109"/>
      <c r="AE415" s="109"/>
      <c r="AF415" s="109"/>
    </row>
    <row r="416" spans="1:32" ht="15">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c r="AA416" s="109"/>
      <c r="AB416" s="109"/>
      <c r="AC416" s="109"/>
      <c r="AD416" s="109"/>
      <c r="AE416" s="109"/>
      <c r="AF416" s="109"/>
    </row>
    <row r="417" spans="1:32" ht="15">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c r="AA417" s="109"/>
      <c r="AB417" s="109"/>
      <c r="AC417" s="109"/>
      <c r="AD417" s="109"/>
      <c r="AE417" s="109"/>
      <c r="AF417" s="109"/>
    </row>
    <row r="418" spans="1:32" ht="15">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c r="AA418" s="109"/>
      <c r="AB418" s="109"/>
      <c r="AC418" s="109"/>
      <c r="AD418" s="109"/>
      <c r="AE418" s="109"/>
      <c r="AF418" s="109"/>
    </row>
    <row r="419" spans="1:32" ht="15">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c r="AA419" s="109"/>
      <c r="AB419" s="109"/>
      <c r="AC419" s="109"/>
      <c r="AD419" s="109"/>
      <c r="AE419" s="109"/>
      <c r="AF419" s="109"/>
    </row>
    <row r="420" spans="1:32" ht="15">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c r="AA420" s="109"/>
      <c r="AB420" s="109"/>
      <c r="AC420" s="109"/>
      <c r="AD420" s="109"/>
      <c r="AE420" s="109"/>
      <c r="AF420" s="109"/>
    </row>
    <row r="421" spans="1:32" ht="15">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c r="AA421" s="109"/>
      <c r="AB421" s="109"/>
      <c r="AC421" s="109"/>
      <c r="AD421" s="109"/>
      <c r="AE421" s="109"/>
      <c r="AF421" s="109"/>
    </row>
    <row r="422" spans="1:32" ht="15">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c r="AA422" s="109"/>
      <c r="AB422" s="109"/>
      <c r="AC422" s="109"/>
      <c r="AD422" s="109"/>
      <c r="AE422" s="109"/>
      <c r="AF422" s="109"/>
    </row>
    <row r="423" spans="1:32" ht="15">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c r="AA423" s="109"/>
      <c r="AB423" s="109"/>
      <c r="AC423" s="109"/>
      <c r="AD423" s="109"/>
      <c r="AE423" s="109"/>
      <c r="AF423" s="109"/>
    </row>
    <row r="424" spans="1:32" ht="15">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c r="AA424" s="109"/>
      <c r="AB424" s="109"/>
      <c r="AC424" s="109"/>
      <c r="AD424" s="109"/>
      <c r="AE424" s="109"/>
      <c r="AF424" s="109"/>
    </row>
    <row r="425" spans="1:32" ht="1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c r="AA425" s="109"/>
      <c r="AB425" s="109"/>
      <c r="AC425" s="109"/>
      <c r="AD425" s="109"/>
      <c r="AE425" s="109"/>
      <c r="AF425" s="109"/>
    </row>
    <row r="426" spans="1:32" ht="15">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c r="AA426" s="109"/>
      <c r="AB426" s="109"/>
      <c r="AC426" s="109"/>
      <c r="AD426" s="109"/>
      <c r="AE426" s="109"/>
      <c r="AF426" s="109"/>
    </row>
    <row r="427" spans="1:32" ht="15">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c r="AA427" s="109"/>
      <c r="AB427" s="109"/>
      <c r="AC427" s="109"/>
      <c r="AD427" s="109"/>
      <c r="AE427" s="109"/>
      <c r="AF427" s="109"/>
    </row>
    <row r="428" spans="1:32" ht="15">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c r="AA428" s="109"/>
      <c r="AB428" s="109"/>
      <c r="AC428" s="109"/>
      <c r="AD428" s="109"/>
      <c r="AE428" s="109"/>
      <c r="AF428" s="109"/>
    </row>
    <row r="429" spans="1:32" ht="15">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c r="AA429" s="109"/>
      <c r="AB429" s="109"/>
      <c r="AC429" s="109"/>
      <c r="AD429" s="109"/>
      <c r="AE429" s="109"/>
      <c r="AF429" s="109"/>
    </row>
    <row r="430" spans="1:32" ht="15">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c r="AA430" s="109"/>
      <c r="AB430" s="109"/>
      <c r="AC430" s="109"/>
      <c r="AD430" s="109"/>
      <c r="AE430" s="109"/>
      <c r="AF430" s="109"/>
    </row>
    <row r="431" spans="1:32" ht="15">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c r="AA431" s="109"/>
      <c r="AB431" s="109"/>
      <c r="AC431" s="109"/>
      <c r="AD431" s="109"/>
      <c r="AE431" s="109"/>
      <c r="AF431" s="109"/>
    </row>
    <row r="432" spans="1:32" ht="15">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c r="AA432" s="109"/>
      <c r="AB432" s="109"/>
      <c r="AC432" s="109"/>
      <c r="AD432" s="109"/>
      <c r="AE432" s="109"/>
      <c r="AF432" s="109"/>
    </row>
    <row r="433" spans="1:32" ht="15">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c r="AA433" s="109"/>
      <c r="AB433" s="109"/>
      <c r="AC433" s="109"/>
      <c r="AD433" s="109"/>
      <c r="AE433" s="109"/>
      <c r="AF433" s="109"/>
    </row>
    <row r="434" spans="1:32" ht="15">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c r="AA434" s="109"/>
      <c r="AB434" s="109"/>
      <c r="AC434" s="109"/>
      <c r="AD434" s="109"/>
      <c r="AE434" s="109"/>
      <c r="AF434" s="109"/>
    </row>
    <row r="435" spans="1:32" ht="1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c r="AA435" s="109"/>
      <c r="AB435" s="109"/>
      <c r="AC435" s="109"/>
      <c r="AD435" s="109"/>
      <c r="AE435" s="109"/>
      <c r="AF435" s="109"/>
    </row>
    <row r="436" spans="1:32" ht="15">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c r="AA436" s="109"/>
      <c r="AB436" s="109"/>
      <c r="AC436" s="109"/>
      <c r="AD436" s="109"/>
      <c r="AE436" s="109"/>
      <c r="AF436" s="109"/>
    </row>
    <row r="437" spans="1:32" ht="15">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c r="AA437" s="109"/>
      <c r="AB437" s="109"/>
      <c r="AC437" s="109"/>
      <c r="AD437" s="109"/>
      <c r="AE437" s="109"/>
      <c r="AF437" s="109"/>
    </row>
    <row r="438" spans="1:32" ht="15">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c r="AA438" s="109"/>
      <c r="AB438" s="109"/>
      <c r="AC438" s="109"/>
      <c r="AD438" s="109"/>
      <c r="AE438" s="109"/>
      <c r="AF438" s="109"/>
    </row>
    <row r="439" spans="1:32" ht="15">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c r="AA439" s="109"/>
      <c r="AB439" s="109"/>
      <c r="AC439" s="109"/>
      <c r="AD439" s="109"/>
      <c r="AE439" s="109"/>
      <c r="AF439" s="109"/>
    </row>
    <row r="440" spans="1:32" ht="15">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c r="AA440" s="109"/>
      <c r="AB440" s="109"/>
      <c r="AC440" s="109"/>
      <c r="AD440" s="109"/>
      <c r="AE440" s="109"/>
      <c r="AF440" s="109"/>
    </row>
    <row r="441" spans="1:32" ht="15">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c r="AA441" s="109"/>
      <c r="AB441" s="109"/>
      <c r="AC441" s="109"/>
      <c r="AD441" s="109"/>
      <c r="AE441" s="109"/>
      <c r="AF441" s="109"/>
    </row>
    <row r="442" spans="1:32" ht="15">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c r="AA442" s="109"/>
      <c r="AB442" s="109"/>
      <c r="AC442" s="109"/>
      <c r="AD442" s="109"/>
      <c r="AE442" s="109"/>
      <c r="AF442" s="109"/>
    </row>
    <row r="443" spans="1:32" ht="15">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c r="AA443" s="109"/>
      <c r="AB443" s="109"/>
      <c r="AC443" s="109"/>
      <c r="AD443" s="109"/>
      <c r="AE443" s="109"/>
      <c r="AF443" s="109"/>
    </row>
    <row r="444" spans="1:32" ht="15">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c r="AA444" s="109"/>
      <c r="AB444" s="109"/>
      <c r="AC444" s="109"/>
      <c r="AD444" s="109"/>
      <c r="AE444" s="109"/>
      <c r="AF444" s="109"/>
    </row>
    <row r="445" spans="1:32" ht="1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c r="AA445" s="109"/>
      <c r="AB445" s="109"/>
      <c r="AC445" s="109"/>
      <c r="AD445" s="109"/>
      <c r="AE445" s="109"/>
      <c r="AF445" s="109"/>
    </row>
    <row r="446" spans="1:32" ht="15">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c r="AA446" s="109"/>
      <c r="AB446" s="109"/>
      <c r="AC446" s="109"/>
      <c r="AD446" s="109"/>
      <c r="AE446" s="109"/>
      <c r="AF446" s="109"/>
    </row>
    <row r="447" spans="1:32" ht="15">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c r="AA447" s="109"/>
      <c r="AB447" s="109"/>
      <c r="AC447" s="109"/>
      <c r="AD447" s="109"/>
      <c r="AE447" s="109"/>
      <c r="AF447" s="109"/>
    </row>
    <row r="448" spans="1:32" ht="15">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c r="AA448" s="109"/>
      <c r="AB448" s="109"/>
      <c r="AC448" s="109"/>
      <c r="AD448" s="109"/>
      <c r="AE448" s="109"/>
      <c r="AF448" s="109"/>
    </row>
    <row r="449" spans="1:32" ht="15">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c r="AA449" s="109"/>
      <c r="AB449" s="109"/>
      <c r="AC449" s="109"/>
      <c r="AD449" s="109"/>
      <c r="AE449" s="109"/>
      <c r="AF449" s="109"/>
    </row>
    <row r="450" spans="1:32" ht="15">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c r="AA450" s="109"/>
      <c r="AB450" s="109"/>
      <c r="AC450" s="109"/>
      <c r="AD450" s="109"/>
      <c r="AE450" s="109"/>
      <c r="AF450" s="109"/>
    </row>
    <row r="451" spans="1:32" ht="15">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c r="AA451" s="109"/>
      <c r="AB451" s="109"/>
      <c r="AC451" s="109"/>
      <c r="AD451" s="109"/>
      <c r="AE451" s="109"/>
      <c r="AF451" s="109"/>
    </row>
    <row r="452" spans="1:32" ht="15">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c r="AA452" s="109"/>
      <c r="AB452" s="109"/>
      <c r="AC452" s="109"/>
      <c r="AD452" s="109"/>
      <c r="AE452" s="109"/>
      <c r="AF452" s="109"/>
    </row>
    <row r="453" spans="1:32" ht="15">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c r="AA453" s="109"/>
      <c r="AB453" s="109"/>
      <c r="AC453" s="109"/>
      <c r="AD453" s="109"/>
      <c r="AE453" s="109"/>
      <c r="AF453" s="109"/>
    </row>
    <row r="454" spans="1:32" ht="15">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c r="AA454" s="109"/>
      <c r="AB454" s="109"/>
      <c r="AC454" s="109"/>
      <c r="AD454" s="109"/>
      <c r="AE454" s="109"/>
      <c r="AF454" s="109"/>
    </row>
    <row r="455" spans="1:32" ht="1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c r="AA455" s="109"/>
      <c r="AB455" s="109"/>
      <c r="AC455" s="109"/>
      <c r="AD455" s="109"/>
      <c r="AE455" s="109"/>
      <c r="AF455" s="109"/>
    </row>
    <row r="456" spans="1:32" ht="15">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c r="AA456" s="109"/>
      <c r="AB456" s="109"/>
      <c r="AC456" s="109"/>
      <c r="AD456" s="109"/>
      <c r="AE456" s="109"/>
      <c r="AF456" s="109"/>
    </row>
    <row r="457" spans="1:32" ht="15">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c r="AA457" s="109"/>
      <c r="AB457" s="109"/>
      <c r="AC457" s="109"/>
      <c r="AD457" s="109"/>
      <c r="AE457" s="109"/>
      <c r="AF457" s="109"/>
    </row>
    <row r="458" spans="1:32" ht="15">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c r="AA458" s="109"/>
      <c r="AB458" s="109"/>
      <c r="AC458" s="109"/>
      <c r="AD458" s="109"/>
      <c r="AE458" s="109"/>
      <c r="AF458" s="109"/>
    </row>
    <row r="459" spans="1:32" ht="15">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c r="AA459" s="109"/>
      <c r="AB459" s="109"/>
      <c r="AC459" s="109"/>
      <c r="AD459" s="109"/>
      <c r="AE459" s="109"/>
      <c r="AF459" s="109"/>
    </row>
    <row r="460" spans="1:32" ht="15">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c r="AA460" s="109"/>
      <c r="AB460" s="109"/>
      <c r="AC460" s="109"/>
      <c r="AD460" s="109"/>
      <c r="AE460" s="109"/>
      <c r="AF460" s="109"/>
    </row>
    <row r="461" spans="1:32" ht="15">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c r="AA461" s="109"/>
      <c r="AB461" s="109"/>
      <c r="AC461" s="109"/>
      <c r="AD461" s="109"/>
      <c r="AE461" s="109"/>
      <c r="AF461" s="109"/>
    </row>
    <row r="462" spans="1:32" ht="15">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c r="AA462" s="109"/>
      <c r="AB462" s="109"/>
      <c r="AC462" s="109"/>
      <c r="AD462" s="109"/>
      <c r="AE462" s="109"/>
      <c r="AF462" s="109"/>
    </row>
    <row r="463" spans="1:32" ht="15">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c r="AA463" s="109"/>
      <c r="AB463" s="109"/>
      <c r="AC463" s="109"/>
      <c r="AD463" s="109"/>
      <c r="AE463" s="109"/>
      <c r="AF463" s="109"/>
    </row>
    <row r="464" spans="1:32" ht="15">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c r="AA464" s="109"/>
      <c r="AB464" s="109"/>
      <c r="AC464" s="109"/>
      <c r="AD464" s="109"/>
      <c r="AE464" s="109"/>
      <c r="AF464" s="109"/>
    </row>
    <row r="465" spans="1:32" ht="1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c r="AA465" s="109"/>
      <c r="AB465" s="109"/>
      <c r="AC465" s="109"/>
      <c r="AD465" s="109"/>
      <c r="AE465" s="109"/>
      <c r="AF465" s="109"/>
    </row>
    <row r="466" spans="1:32" ht="15">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c r="AA466" s="109"/>
      <c r="AB466" s="109"/>
      <c r="AC466" s="109"/>
      <c r="AD466" s="109"/>
      <c r="AE466" s="109"/>
      <c r="AF466" s="109"/>
    </row>
    <row r="467" spans="1:32" ht="15">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c r="AA467" s="109"/>
      <c r="AB467" s="109"/>
      <c r="AC467" s="109"/>
      <c r="AD467" s="109"/>
      <c r="AE467" s="109"/>
      <c r="AF467" s="109"/>
    </row>
    <row r="468" spans="1:32" ht="15">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c r="AA468" s="109"/>
      <c r="AB468" s="109"/>
      <c r="AC468" s="109"/>
      <c r="AD468" s="109"/>
      <c r="AE468" s="109"/>
      <c r="AF468" s="109"/>
    </row>
    <row r="469" spans="1:32" ht="15">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c r="AA469" s="109"/>
      <c r="AB469" s="109"/>
      <c r="AC469" s="109"/>
      <c r="AD469" s="109"/>
      <c r="AE469" s="109"/>
      <c r="AF469" s="109"/>
    </row>
    <row r="470" spans="1:32" ht="15">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c r="AA470" s="109"/>
      <c r="AB470" s="109"/>
      <c r="AC470" s="109"/>
      <c r="AD470" s="109"/>
      <c r="AE470" s="109"/>
      <c r="AF470" s="109"/>
    </row>
    <row r="471" spans="1:32" ht="15">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c r="AA471" s="109"/>
      <c r="AB471" s="109"/>
      <c r="AC471" s="109"/>
      <c r="AD471" s="109"/>
      <c r="AE471" s="109"/>
      <c r="AF471" s="109"/>
    </row>
    <row r="472" spans="1:32" ht="15">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c r="AA472" s="109"/>
      <c r="AB472" s="109"/>
      <c r="AC472" s="109"/>
      <c r="AD472" s="109"/>
      <c r="AE472" s="109"/>
      <c r="AF472" s="109"/>
    </row>
    <row r="473" spans="1:32" ht="15">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c r="AA473" s="109"/>
      <c r="AB473" s="109"/>
      <c r="AC473" s="109"/>
      <c r="AD473" s="109"/>
      <c r="AE473" s="109"/>
      <c r="AF473" s="109"/>
    </row>
    <row r="474" spans="1:32" ht="15">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c r="AA474" s="109"/>
      <c r="AB474" s="109"/>
      <c r="AC474" s="109"/>
      <c r="AD474" s="109"/>
      <c r="AE474" s="109"/>
      <c r="AF474" s="109"/>
    </row>
    <row r="475" spans="1:32" ht="1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c r="AA475" s="109"/>
      <c r="AB475" s="109"/>
      <c r="AC475" s="109"/>
      <c r="AD475" s="109"/>
      <c r="AE475" s="109"/>
      <c r="AF475" s="109"/>
    </row>
    <row r="476" spans="1:32" ht="15">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c r="AA476" s="109"/>
      <c r="AB476" s="109"/>
      <c r="AC476" s="109"/>
      <c r="AD476" s="109"/>
      <c r="AE476" s="109"/>
      <c r="AF476" s="109"/>
    </row>
    <row r="477" spans="1:32" ht="15">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c r="AA477" s="109"/>
      <c r="AB477" s="109"/>
      <c r="AC477" s="109"/>
      <c r="AD477" s="109"/>
      <c r="AE477" s="109"/>
      <c r="AF477" s="109"/>
    </row>
    <row r="478" spans="1:32" ht="15">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c r="AA478" s="109"/>
      <c r="AB478" s="109"/>
      <c r="AC478" s="109"/>
      <c r="AD478" s="109"/>
      <c r="AE478" s="109"/>
      <c r="AF478" s="109"/>
    </row>
    <row r="479" spans="1:32" ht="15">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c r="AA479" s="109"/>
      <c r="AB479" s="109"/>
      <c r="AC479" s="109"/>
      <c r="AD479" s="109"/>
      <c r="AE479" s="109"/>
      <c r="AF479" s="109"/>
    </row>
    <row r="480" spans="1:32" ht="15">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c r="AA480" s="109"/>
      <c r="AB480" s="109"/>
      <c r="AC480" s="109"/>
      <c r="AD480" s="109"/>
      <c r="AE480" s="109"/>
      <c r="AF480" s="109"/>
    </row>
    <row r="481" spans="1:32" ht="15">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c r="AA481" s="109"/>
      <c r="AB481" s="109"/>
      <c r="AC481" s="109"/>
      <c r="AD481" s="109"/>
      <c r="AE481" s="109"/>
      <c r="AF481" s="109"/>
    </row>
    <row r="482" spans="1:32" ht="15">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c r="AA482" s="109"/>
      <c r="AB482" s="109"/>
      <c r="AC482" s="109"/>
      <c r="AD482" s="109"/>
      <c r="AE482" s="109"/>
      <c r="AF482" s="109"/>
    </row>
    <row r="483" spans="1:32" ht="15">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c r="AA483" s="109"/>
      <c r="AB483" s="109"/>
      <c r="AC483" s="109"/>
      <c r="AD483" s="109"/>
      <c r="AE483" s="109"/>
      <c r="AF483" s="109"/>
    </row>
    <row r="484" spans="1:32" ht="15">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c r="AA484" s="109"/>
      <c r="AB484" s="109"/>
      <c r="AC484" s="109"/>
      <c r="AD484" s="109"/>
      <c r="AE484" s="109"/>
      <c r="AF484" s="109"/>
    </row>
    <row r="485" spans="1:32" ht="1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c r="AA485" s="109"/>
      <c r="AB485" s="109"/>
      <c r="AC485" s="109"/>
      <c r="AD485" s="109"/>
      <c r="AE485" s="109"/>
      <c r="AF485" s="109"/>
    </row>
    <row r="486" spans="1:32" ht="15">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c r="AA486" s="109"/>
      <c r="AB486" s="109"/>
      <c r="AC486" s="109"/>
      <c r="AD486" s="109"/>
      <c r="AE486" s="109"/>
      <c r="AF486" s="109"/>
    </row>
    <row r="487" spans="1:32" ht="15">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c r="AA487" s="109"/>
      <c r="AB487" s="109"/>
      <c r="AC487" s="109"/>
      <c r="AD487" s="109"/>
      <c r="AE487" s="109"/>
      <c r="AF487" s="109"/>
    </row>
    <row r="488" spans="1:32" ht="15">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c r="AA488" s="109"/>
      <c r="AB488" s="109"/>
      <c r="AC488" s="109"/>
      <c r="AD488" s="109"/>
      <c r="AE488" s="109"/>
      <c r="AF488" s="109"/>
    </row>
    <row r="489" spans="1:32" ht="15">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c r="AA489" s="109"/>
      <c r="AB489" s="109"/>
      <c r="AC489" s="109"/>
      <c r="AD489" s="109"/>
      <c r="AE489" s="109"/>
      <c r="AF489" s="109"/>
    </row>
    <row r="490" spans="1:32" ht="15">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c r="AA490" s="109"/>
      <c r="AB490" s="109"/>
      <c r="AC490" s="109"/>
      <c r="AD490" s="109"/>
      <c r="AE490" s="109"/>
      <c r="AF490" s="109"/>
    </row>
    <row r="491" spans="1:32" ht="15">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c r="AA491" s="109"/>
      <c r="AB491" s="109"/>
      <c r="AC491" s="109"/>
      <c r="AD491" s="109"/>
      <c r="AE491" s="109"/>
      <c r="AF491" s="109"/>
    </row>
    <row r="492" spans="1:32" ht="15">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c r="AA492" s="109"/>
      <c r="AB492" s="109"/>
      <c r="AC492" s="109"/>
      <c r="AD492" s="109"/>
      <c r="AE492" s="109"/>
      <c r="AF492" s="109"/>
    </row>
    <row r="493" spans="1:32" ht="15">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c r="AA493" s="109"/>
      <c r="AB493" s="109"/>
      <c r="AC493" s="109"/>
      <c r="AD493" s="109"/>
      <c r="AE493" s="109"/>
      <c r="AF493" s="109"/>
    </row>
    <row r="494" spans="1:32" ht="15">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c r="AA494" s="109"/>
      <c r="AB494" s="109"/>
      <c r="AC494" s="109"/>
      <c r="AD494" s="109"/>
      <c r="AE494" s="109"/>
      <c r="AF494" s="109"/>
    </row>
    <row r="495" spans="1:32" ht="1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c r="AA495" s="109"/>
      <c r="AB495" s="109"/>
      <c r="AC495" s="109"/>
      <c r="AD495" s="109"/>
      <c r="AE495" s="109"/>
      <c r="AF495" s="109"/>
    </row>
    <row r="496" spans="1:32" ht="15">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c r="AA496" s="109"/>
      <c r="AB496" s="109"/>
      <c r="AC496" s="109"/>
      <c r="AD496" s="109"/>
      <c r="AE496" s="109"/>
      <c r="AF496" s="109"/>
    </row>
    <row r="497" spans="1:32" ht="15">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c r="AA497" s="109"/>
      <c r="AB497" s="109"/>
      <c r="AC497" s="109"/>
      <c r="AD497" s="109"/>
      <c r="AE497" s="109"/>
      <c r="AF497" s="109"/>
    </row>
    <row r="498" spans="1:32" ht="15">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c r="AA498" s="109"/>
      <c r="AB498" s="109"/>
      <c r="AC498" s="109"/>
      <c r="AD498" s="109"/>
      <c r="AE498" s="109"/>
      <c r="AF498" s="109"/>
    </row>
    <row r="499" spans="1:32" ht="15">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c r="AA499" s="109"/>
      <c r="AB499" s="109"/>
      <c r="AC499" s="109"/>
      <c r="AD499" s="109"/>
      <c r="AE499" s="109"/>
      <c r="AF499" s="109"/>
    </row>
    <row r="500" spans="1:32" ht="15">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c r="AA500" s="109"/>
      <c r="AB500" s="109"/>
      <c r="AC500" s="109"/>
      <c r="AD500" s="109"/>
      <c r="AE500" s="109"/>
      <c r="AF500" s="109"/>
    </row>
    <row r="501" spans="1:32" ht="15">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c r="AA501" s="109"/>
      <c r="AB501" s="109"/>
      <c r="AC501" s="109"/>
      <c r="AD501" s="109"/>
      <c r="AE501" s="109"/>
      <c r="AF501" s="109"/>
    </row>
    <row r="502" spans="1:32" ht="15">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c r="AA502" s="109"/>
      <c r="AB502" s="109"/>
      <c r="AC502" s="109"/>
      <c r="AD502" s="109"/>
      <c r="AE502" s="109"/>
      <c r="AF502" s="109"/>
    </row>
    <row r="503" spans="1:32" ht="15">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c r="AA503" s="109"/>
      <c r="AB503" s="109"/>
      <c r="AC503" s="109"/>
      <c r="AD503" s="109"/>
      <c r="AE503" s="109"/>
      <c r="AF503" s="109"/>
    </row>
    <row r="504" spans="1:32" ht="15">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c r="AA504" s="109"/>
      <c r="AB504" s="109"/>
      <c r="AC504" s="109"/>
      <c r="AD504" s="109"/>
      <c r="AE504" s="109"/>
      <c r="AF504" s="109"/>
    </row>
    <row r="505" spans="1:32" ht="1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c r="AA505" s="109"/>
      <c r="AB505" s="109"/>
      <c r="AC505" s="109"/>
      <c r="AD505" s="109"/>
      <c r="AE505" s="109"/>
      <c r="AF505" s="109"/>
    </row>
    <row r="506" spans="1:32" ht="15">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c r="AA506" s="109"/>
      <c r="AB506" s="109"/>
      <c r="AC506" s="109"/>
      <c r="AD506" s="109"/>
      <c r="AE506" s="109"/>
      <c r="AF506" s="109"/>
    </row>
    <row r="507" spans="1:32" ht="15">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c r="AA507" s="109"/>
      <c r="AB507" s="109"/>
      <c r="AC507" s="109"/>
      <c r="AD507" s="109"/>
      <c r="AE507" s="109"/>
      <c r="AF507" s="109"/>
    </row>
    <row r="508" spans="1:32" ht="15">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c r="AA508" s="109"/>
      <c r="AB508" s="109"/>
      <c r="AC508" s="109"/>
      <c r="AD508" s="109"/>
      <c r="AE508" s="109"/>
      <c r="AF508" s="109"/>
    </row>
    <row r="509" spans="1:32" ht="15">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c r="AA509" s="109"/>
      <c r="AB509" s="109"/>
      <c r="AC509" s="109"/>
      <c r="AD509" s="109"/>
      <c r="AE509" s="109"/>
      <c r="AF509" s="109"/>
    </row>
    <row r="510" spans="1:32" ht="15">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c r="AA510" s="109"/>
      <c r="AB510" s="109"/>
      <c r="AC510" s="109"/>
      <c r="AD510" s="109"/>
      <c r="AE510" s="109"/>
      <c r="AF510" s="109"/>
    </row>
    <row r="511" spans="1:32" ht="15">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c r="AA511" s="109"/>
      <c r="AB511" s="109"/>
      <c r="AC511" s="109"/>
      <c r="AD511" s="109"/>
      <c r="AE511" s="109"/>
      <c r="AF511" s="109"/>
    </row>
    <row r="512" spans="1:32" ht="15">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c r="AA512" s="109"/>
      <c r="AB512" s="109"/>
      <c r="AC512" s="109"/>
      <c r="AD512" s="109"/>
      <c r="AE512" s="109"/>
      <c r="AF512" s="109"/>
    </row>
    <row r="513" spans="1:32" ht="15">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c r="AA513" s="109"/>
      <c r="AB513" s="109"/>
      <c r="AC513" s="109"/>
      <c r="AD513" s="109"/>
      <c r="AE513" s="109"/>
      <c r="AF513" s="109"/>
    </row>
    <row r="514" spans="1:32" ht="15">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c r="AA514" s="109"/>
      <c r="AB514" s="109"/>
      <c r="AC514" s="109"/>
      <c r="AD514" s="109"/>
      <c r="AE514" s="109"/>
      <c r="AF514" s="109"/>
    </row>
    <row r="515" spans="1:32" ht="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c r="AA515" s="109"/>
      <c r="AB515" s="109"/>
      <c r="AC515" s="109"/>
      <c r="AD515" s="109"/>
      <c r="AE515" s="109"/>
      <c r="AF515" s="109"/>
    </row>
    <row r="516" spans="1:32" ht="15">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c r="AA516" s="109"/>
      <c r="AB516" s="109"/>
      <c r="AC516" s="109"/>
      <c r="AD516" s="109"/>
      <c r="AE516" s="109"/>
      <c r="AF516" s="109"/>
    </row>
    <row r="517" spans="1:32" ht="15">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c r="AA517" s="109"/>
      <c r="AB517" s="109"/>
      <c r="AC517" s="109"/>
      <c r="AD517" s="109"/>
      <c r="AE517" s="109"/>
      <c r="AF517" s="109"/>
    </row>
    <row r="518" spans="1:32" ht="15">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c r="AA518" s="109"/>
      <c r="AB518" s="109"/>
      <c r="AC518" s="109"/>
      <c r="AD518" s="109"/>
      <c r="AE518" s="109"/>
      <c r="AF518" s="109"/>
    </row>
    <row r="519" spans="1:32" ht="15">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c r="AA519" s="109"/>
      <c r="AB519" s="109"/>
      <c r="AC519" s="109"/>
      <c r="AD519" s="109"/>
      <c r="AE519" s="109"/>
      <c r="AF519" s="109"/>
    </row>
    <row r="520" spans="1:32" ht="15">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c r="AA520" s="109"/>
      <c r="AB520" s="109"/>
      <c r="AC520" s="109"/>
      <c r="AD520" s="109"/>
      <c r="AE520" s="109"/>
      <c r="AF520" s="109"/>
    </row>
    <row r="521" spans="1:32" ht="15">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c r="AA521" s="109"/>
      <c r="AB521" s="109"/>
      <c r="AC521" s="109"/>
      <c r="AD521" s="109"/>
      <c r="AE521" s="109"/>
      <c r="AF521" s="109"/>
    </row>
    <row r="522" spans="1:32" ht="15">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c r="AA522" s="109"/>
      <c r="AB522" s="109"/>
      <c r="AC522" s="109"/>
      <c r="AD522" s="109"/>
      <c r="AE522" s="109"/>
      <c r="AF522" s="109"/>
    </row>
    <row r="523" spans="1:32" ht="15">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c r="AA523" s="109"/>
      <c r="AB523" s="109"/>
      <c r="AC523" s="109"/>
      <c r="AD523" s="109"/>
      <c r="AE523" s="109"/>
      <c r="AF523" s="109"/>
    </row>
    <row r="524" spans="1:32" ht="15">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c r="AA524" s="109"/>
      <c r="AB524" s="109"/>
      <c r="AC524" s="109"/>
      <c r="AD524" s="109"/>
      <c r="AE524" s="109"/>
      <c r="AF524" s="109"/>
    </row>
    <row r="525" spans="1:32" ht="1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c r="AA525" s="109"/>
      <c r="AB525" s="109"/>
      <c r="AC525" s="109"/>
      <c r="AD525" s="109"/>
      <c r="AE525" s="109"/>
      <c r="AF525" s="109"/>
    </row>
    <row r="526" spans="1:32" ht="15">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c r="AA526" s="109"/>
      <c r="AB526" s="109"/>
      <c r="AC526" s="109"/>
      <c r="AD526" s="109"/>
      <c r="AE526" s="109"/>
      <c r="AF526" s="109"/>
    </row>
    <row r="527" spans="1:32" ht="15">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c r="AA527" s="109"/>
      <c r="AB527" s="109"/>
      <c r="AC527" s="109"/>
      <c r="AD527" s="109"/>
      <c r="AE527" s="109"/>
      <c r="AF527" s="109"/>
    </row>
    <row r="528" spans="1:32" ht="15">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c r="AA528" s="109"/>
      <c r="AB528" s="109"/>
      <c r="AC528" s="109"/>
      <c r="AD528" s="109"/>
      <c r="AE528" s="109"/>
      <c r="AF528" s="109"/>
    </row>
    <row r="529" spans="1:32" ht="15">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c r="AA529" s="109"/>
      <c r="AB529" s="109"/>
      <c r="AC529" s="109"/>
      <c r="AD529" s="109"/>
      <c r="AE529" s="109"/>
      <c r="AF529" s="109"/>
    </row>
    <row r="530" spans="1:32" ht="15">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c r="AA530" s="109"/>
      <c r="AB530" s="109"/>
      <c r="AC530" s="109"/>
      <c r="AD530" s="109"/>
      <c r="AE530" s="109"/>
      <c r="AF530" s="109"/>
    </row>
    <row r="531" spans="1:32" ht="15">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c r="AA531" s="109"/>
      <c r="AB531" s="109"/>
      <c r="AC531" s="109"/>
      <c r="AD531" s="109"/>
      <c r="AE531" s="109"/>
      <c r="AF531" s="109"/>
    </row>
    <row r="532" spans="1:32" ht="15">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c r="AA532" s="109"/>
      <c r="AB532" s="109"/>
      <c r="AC532" s="109"/>
      <c r="AD532" s="109"/>
      <c r="AE532" s="109"/>
      <c r="AF532" s="109"/>
    </row>
    <row r="533" spans="1:32" ht="15">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c r="AA533" s="109"/>
      <c r="AB533" s="109"/>
      <c r="AC533" s="109"/>
      <c r="AD533" s="109"/>
      <c r="AE533" s="109"/>
      <c r="AF533" s="109"/>
    </row>
    <row r="534" spans="1:32" ht="15">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c r="AA534" s="109"/>
      <c r="AB534" s="109"/>
      <c r="AC534" s="109"/>
      <c r="AD534" s="109"/>
      <c r="AE534" s="109"/>
      <c r="AF534" s="109"/>
    </row>
    <row r="535" spans="1:32" ht="1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c r="AA535" s="109"/>
      <c r="AB535" s="109"/>
      <c r="AC535" s="109"/>
      <c r="AD535" s="109"/>
      <c r="AE535" s="109"/>
      <c r="AF535" s="109"/>
    </row>
    <row r="536" spans="1:32" ht="15">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c r="AA536" s="109"/>
      <c r="AB536" s="109"/>
      <c r="AC536" s="109"/>
      <c r="AD536" s="109"/>
      <c r="AE536" s="109"/>
      <c r="AF536" s="109"/>
    </row>
    <row r="537" spans="1:32" ht="15">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c r="AA537" s="109"/>
      <c r="AB537" s="109"/>
      <c r="AC537" s="109"/>
      <c r="AD537" s="109"/>
      <c r="AE537" s="109"/>
      <c r="AF537" s="109"/>
    </row>
    <row r="538" spans="1:32" ht="15">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c r="AA538" s="109"/>
      <c r="AB538" s="109"/>
      <c r="AC538" s="109"/>
      <c r="AD538" s="109"/>
      <c r="AE538" s="109"/>
      <c r="AF538" s="109"/>
    </row>
    <row r="539" spans="1:32" ht="15">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c r="AA539" s="109"/>
      <c r="AB539" s="109"/>
      <c r="AC539" s="109"/>
      <c r="AD539" s="109"/>
      <c r="AE539" s="109"/>
      <c r="AF539" s="109"/>
    </row>
    <row r="540" spans="1:32" ht="15">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c r="AA540" s="109"/>
      <c r="AB540" s="109"/>
      <c r="AC540" s="109"/>
      <c r="AD540" s="109"/>
      <c r="AE540" s="109"/>
      <c r="AF540" s="109"/>
    </row>
    <row r="541" spans="1:32" ht="15">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c r="AA541" s="109"/>
      <c r="AB541" s="109"/>
      <c r="AC541" s="109"/>
      <c r="AD541" s="109"/>
      <c r="AE541" s="109"/>
      <c r="AF541" s="109"/>
    </row>
    <row r="542" spans="1:32" ht="15">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c r="AA542" s="109"/>
      <c r="AB542" s="109"/>
      <c r="AC542" s="109"/>
      <c r="AD542" s="109"/>
      <c r="AE542" s="109"/>
      <c r="AF542" s="109"/>
    </row>
    <row r="543" spans="1:32" ht="15">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c r="AA543" s="109"/>
      <c r="AB543" s="109"/>
      <c r="AC543" s="109"/>
      <c r="AD543" s="109"/>
      <c r="AE543" s="109"/>
      <c r="AF543" s="109"/>
    </row>
    <row r="544" spans="1:32" ht="15">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c r="AA544" s="109"/>
      <c r="AB544" s="109"/>
      <c r="AC544" s="109"/>
      <c r="AD544" s="109"/>
      <c r="AE544" s="109"/>
      <c r="AF544" s="109"/>
    </row>
    <row r="545" spans="1:32" ht="1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c r="AA545" s="109"/>
      <c r="AB545" s="109"/>
      <c r="AC545" s="109"/>
      <c r="AD545" s="109"/>
      <c r="AE545" s="109"/>
      <c r="AF545" s="109"/>
    </row>
    <row r="546" spans="1:32" ht="15">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c r="AA546" s="109"/>
      <c r="AB546" s="109"/>
      <c r="AC546" s="109"/>
      <c r="AD546" s="109"/>
      <c r="AE546" s="109"/>
      <c r="AF546" s="109"/>
    </row>
    <row r="547" spans="1:32" ht="15">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c r="AA547" s="109"/>
      <c r="AB547" s="109"/>
      <c r="AC547" s="109"/>
      <c r="AD547" s="109"/>
      <c r="AE547" s="109"/>
      <c r="AF547" s="109"/>
    </row>
    <row r="548" spans="1:32" ht="15">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c r="AA548" s="109"/>
      <c r="AB548" s="109"/>
      <c r="AC548" s="109"/>
      <c r="AD548" s="109"/>
      <c r="AE548" s="109"/>
      <c r="AF548" s="109"/>
    </row>
    <row r="549" spans="1:32" ht="15">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c r="AA549" s="109"/>
      <c r="AB549" s="109"/>
      <c r="AC549" s="109"/>
      <c r="AD549" s="109"/>
      <c r="AE549" s="109"/>
      <c r="AF549" s="109"/>
    </row>
    <row r="550" spans="1:32" ht="15">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c r="AA550" s="109"/>
      <c r="AB550" s="109"/>
      <c r="AC550" s="109"/>
      <c r="AD550" s="109"/>
      <c r="AE550" s="109"/>
      <c r="AF550" s="109"/>
    </row>
    <row r="551" spans="1:32" ht="15">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c r="AA551" s="109"/>
      <c r="AB551" s="109"/>
      <c r="AC551" s="109"/>
      <c r="AD551" s="109"/>
      <c r="AE551" s="109"/>
      <c r="AF551" s="109"/>
    </row>
    <row r="552" spans="1:32" ht="15">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c r="AA552" s="109"/>
      <c r="AB552" s="109"/>
      <c r="AC552" s="109"/>
      <c r="AD552" s="109"/>
      <c r="AE552" s="109"/>
      <c r="AF552" s="109"/>
    </row>
    <row r="553" spans="1:32" ht="15">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c r="AA553" s="109"/>
      <c r="AB553" s="109"/>
      <c r="AC553" s="109"/>
      <c r="AD553" s="109"/>
      <c r="AE553" s="109"/>
      <c r="AF553" s="109"/>
    </row>
    <row r="554" spans="1:32" ht="15">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c r="AA554" s="109"/>
      <c r="AB554" s="109"/>
      <c r="AC554" s="109"/>
      <c r="AD554" s="109"/>
      <c r="AE554" s="109"/>
      <c r="AF554" s="109"/>
    </row>
    <row r="555" spans="1:32" ht="1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c r="AA555" s="109"/>
      <c r="AB555" s="109"/>
      <c r="AC555" s="109"/>
      <c r="AD555" s="109"/>
      <c r="AE555" s="109"/>
      <c r="AF555" s="109"/>
    </row>
    <row r="556" spans="1:32" ht="15">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c r="AA556" s="109"/>
      <c r="AB556" s="109"/>
      <c r="AC556" s="109"/>
      <c r="AD556" s="109"/>
      <c r="AE556" s="109"/>
      <c r="AF556" s="109"/>
    </row>
    <row r="557" spans="1:32" ht="15">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c r="AA557" s="109"/>
      <c r="AB557" s="109"/>
      <c r="AC557" s="109"/>
      <c r="AD557" s="109"/>
      <c r="AE557" s="109"/>
      <c r="AF557" s="109"/>
    </row>
    <row r="558" spans="1:32" ht="15">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c r="AA558" s="109"/>
      <c r="AB558" s="109"/>
      <c r="AC558" s="109"/>
      <c r="AD558" s="109"/>
      <c r="AE558" s="109"/>
      <c r="AF558" s="109"/>
    </row>
    <row r="559" spans="1:32" ht="15">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c r="AA559" s="109"/>
      <c r="AB559" s="109"/>
      <c r="AC559" s="109"/>
      <c r="AD559" s="109"/>
      <c r="AE559" s="109"/>
      <c r="AF559" s="109"/>
    </row>
    <row r="560" spans="1:32" ht="15">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c r="AA560" s="109"/>
      <c r="AB560" s="109"/>
      <c r="AC560" s="109"/>
      <c r="AD560" s="109"/>
      <c r="AE560" s="109"/>
      <c r="AF560" s="109"/>
    </row>
    <row r="561" spans="1:32" ht="15">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c r="AA561" s="109"/>
      <c r="AB561" s="109"/>
      <c r="AC561" s="109"/>
      <c r="AD561" s="109"/>
      <c r="AE561" s="109"/>
      <c r="AF561" s="109"/>
    </row>
    <row r="562" spans="1:32" ht="15">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c r="AA562" s="109"/>
      <c r="AB562" s="109"/>
      <c r="AC562" s="109"/>
      <c r="AD562" s="109"/>
      <c r="AE562" s="109"/>
      <c r="AF562" s="109"/>
    </row>
    <row r="563" spans="1:32" ht="15">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c r="AA563" s="109"/>
      <c r="AB563" s="109"/>
      <c r="AC563" s="109"/>
      <c r="AD563" s="109"/>
      <c r="AE563" s="109"/>
      <c r="AF563" s="109"/>
    </row>
    <row r="564" spans="1:32" ht="15">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c r="AA564" s="109"/>
      <c r="AB564" s="109"/>
      <c r="AC564" s="109"/>
      <c r="AD564" s="109"/>
      <c r="AE564" s="109"/>
      <c r="AF564" s="109"/>
    </row>
    <row r="565" spans="1:32" ht="1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c r="AA565" s="109"/>
      <c r="AB565" s="109"/>
      <c r="AC565" s="109"/>
      <c r="AD565" s="109"/>
      <c r="AE565" s="109"/>
      <c r="AF565" s="109"/>
    </row>
    <row r="566" spans="1:32" ht="15">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c r="AA566" s="109"/>
      <c r="AB566" s="109"/>
      <c r="AC566" s="109"/>
      <c r="AD566" s="109"/>
      <c r="AE566" s="109"/>
      <c r="AF566" s="109"/>
    </row>
    <row r="567" spans="1:32" ht="15">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c r="AA567" s="109"/>
      <c r="AB567" s="109"/>
      <c r="AC567" s="109"/>
      <c r="AD567" s="109"/>
      <c r="AE567" s="109"/>
      <c r="AF567" s="109"/>
    </row>
    <row r="568" spans="1:32" ht="15">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c r="AA568" s="109"/>
      <c r="AB568" s="109"/>
      <c r="AC568" s="109"/>
      <c r="AD568" s="109"/>
      <c r="AE568" s="109"/>
      <c r="AF568" s="109"/>
    </row>
    <row r="569" spans="1:32" ht="15">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c r="AA569" s="109"/>
      <c r="AB569" s="109"/>
      <c r="AC569" s="109"/>
      <c r="AD569" s="109"/>
      <c r="AE569" s="109"/>
      <c r="AF569" s="109"/>
    </row>
    <row r="570" spans="1:32" ht="15">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c r="AA570" s="109"/>
      <c r="AB570" s="109"/>
      <c r="AC570" s="109"/>
      <c r="AD570" s="109"/>
      <c r="AE570" s="109"/>
      <c r="AF570" s="109"/>
    </row>
    <row r="571" spans="1:32" ht="15">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c r="AA571" s="109"/>
      <c r="AB571" s="109"/>
      <c r="AC571" s="109"/>
      <c r="AD571" s="109"/>
      <c r="AE571" s="109"/>
      <c r="AF571" s="109"/>
    </row>
    <row r="572" spans="1:32" ht="15">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c r="AA572" s="109"/>
      <c r="AB572" s="109"/>
      <c r="AC572" s="109"/>
      <c r="AD572" s="109"/>
      <c r="AE572" s="109"/>
      <c r="AF572" s="109"/>
    </row>
    <row r="573" spans="1:32" ht="15">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c r="AA573" s="109"/>
      <c r="AB573" s="109"/>
      <c r="AC573" s="109"/>
      <c r="AD573" s="109"/>
      <c r="AE573" s="109"/>
      <c r="AF573" s="109"/>
    </row>
    <row r="574" spans="1:32" ht="15">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c r="AA574" s="109"/>
      <c r="AB574" s="109"/>
      <c r="AC574" s="109"/>
      <c r="AD574" s="109"/>
      <c r="AE574" s="109"/>
      <c r="AF574" s="109"/>
    </row>
    <row r="575" spans="1:32" ht="1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c r="AA575" s="109"/>
      <c r="AB575" s="109"/>
      <c r="AC575" s="109"/>
      <c r="AD575" s="109"/>
      <c r="AE575" s="109"/>
      <c r="AF575" s="109"/>
    </row>
    <row r="576" spans="1:32" ht="15">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c r="AA576" s="109"/>
      <c r="AB576" s="109"/>
      <c r="AC576" s="109"/>
      <c r="AD576" s="109"/>
      <c r="AE576" s="109"/>
      <c r="AF576" s="109"/>
    </row>
    <row r="577" spans="1:32" ht="15">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c r="AA577" s="109"/>
      <c r="AB577" s="109"/>
      <c r="AC577" s="109"/>
      <c r="AD577" s="109"/>
      <c r="AE577" s="109"/>
      <c r="AF577" s="109"/>
    </row>
    <row r="578" spans="1:32" ht="15">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c r="AA578" s="109"/>
      <c r="AB578" s="109"/>
      <c r="AC578" s="109"/>
      <c r="AD578" s="109"/>
      <c r="AE578" s="109"/>
      <c r="AF578" s="109"/>
    </row>
    <row r="579" spans="1:32" ht="15">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c r="AA579" s="109"/>
      <c r="AB579" s="109"/>
      <c r="AC579" s="109"/>
      <c r="AD579" s="109"/>
      <c r="AE579" s="109"/>
      <c r="AF579" s="109"/>
    </row>
    <row r="580" spans="1:32" ht="15">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c r="AA580" s="109"/>
      <c r="AB580" s="109"/>
      <c r="AC580" s="109"/>
      <c r="AD580" s="109"/>
      <c r="AE580" s="109"/>
      <c r="AF580" s="109"/>
    </row>
    <row r="581" spans="1:32" ht="15">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c r="AA581" s="109"/>
      <c r="AB581" s="109"/>
      <c r="AC581" s="109"/>
      <c r="AD581" s="109"/>
      <c r="AE581" s="109"/>
      <c r="AF581" s="109"/>
    </row>
    <row r="582" spans="1:32" ht="15">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c r="AA582" s="109"/>
      <c r="AB582" s="109"/>
      <c r="AC582" s="109"/>
      <c r="AD582" s="109"/>
      <c r="AE582" s="109"/>
      <c r="AF582" s="109"/>
    </row>
    <row r="583" spans="1:32" ht="15">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c r="AA583" s="109"/>
      <c r="AB583" s="109"/>
      <c r="AC583" s="109"/>
      <c r="AD583" s="109"/>
      <c r="AE583" s="109"/>
      <c r="AF583" s="109"/>
    </row>
    <row r="584" spans="1:32" ht="15">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c r="AA584" s="109"/>
      <c r="AB584" s="109"/>
      <c r="AC584" s="109"/>
      <c r="AD584" s="109"/>
      <c r="AE584" s="109"/>
      <c r="AF584" s="109"/>
    </row>
    <row r="585" spans="1:32" ht="1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c r="AA585" s="109"/>
      <c r="AB585" s="109"/>
      <c r="AC585" s="109"/>
      <c r="AD585" s="109"/>
      <c r="AE585" s="109"/>
      <c r="AF585" s="109"/>
    </row>
    <row r="586" spans="1:32" ht="15">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c r="AA586" s="109"/>
      <c r="AB586" s="109"/>
      <c r="AC586" s="109"/>
      <c r="AD586" s="109"/>
      <c r="AE586" s="109"/>
      <c r="AF586" s="109"/>
    </row>
    <row r="587" spans="1:32" ht="15">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c r="AA587" s="109"/>
      <c r="AB587" s="109"/>
      <c r="AC587" s="109"/>
      <c r="AD587" s="109"/>
      <c r="AE587" s="109"/>
      <c r="AF587" s="109"/>
    </row>
    <row r="588" spans="1:32" ht="15">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c r="AA588" s="109"/>
      <c r="AB588" s="109"/>
      <c r="AC588" s="109"/>
      <c r="AD588" s="109"/>
      <c r="AE588" s="109"/>
      <c r="AF588" s="109"/>
    </row>
    <row r="589" spans="1:32" ht="15">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c r="AA589" s="109"/>
      <c r="AB589" s="109"/>
      <c r="AC589" s="109"/>
      <c r="AD589" s="109"/>
      <c r="AE589" s="109"/>
      <c r="AF589" s="109"/>
    </row>
    <row r="590" spans="1:32" ht="15">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c r="AA590" s="109"/>
      <c r="AB590" s="109"/>
      <c r="AC590" s="109"/>
      <c r="AD590" s="109"/>
      <c r="AE590" s="109"/>
      <c r="AF590" s="109"/>
    </row>
    <row r="591" spans="1:32" ht="15">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c r="AA591" s="109"/>
      <c r="AB591" s="109"/>
      <c r="AC591" s="109"/>
      <c r="AD591" s="109"/>
      <c r="AE591" s="109"/>
      <c r="AF591" s="109"/>
    </row>
    <row r="592" spans="1:32" ht="15">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c r="AA592" s="109"/>
      <c r="AB592" s="109"/>
      <c r="AC592" s="109"/>
      <c r="AD592" s="109"/>
      <c r="AE592" s="109"/>
      <c r="AF592" s="109"/>
    </row>
    <row r="593" spans="1:32" ht="15">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c r="AA593" s="109"/>
      <c r="AB593" s="109"/>
      <c r="AC593" s="109"/>
      <c r="AD593" s="109"/>
      <c r="AE593" s="109"/>
      <c r="AF593" s="109"/>
    </row>
    <row r="594" spans="1:32" ht="15">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c r="AA594" s="109"/>
      <c r="AB594" s="109"/>
      <c r="AC594" s="109"/>
      <c r="AD594" s="109"/>
      <c r="AE594" s="109"/>
      <c r="AF594" s="109"/>
    </row>
    <row r="595" spans="1:32" ht="1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c r="AA595" s="109"/>
      <c r="AB595" s="109"/>
      <c r="AC595" s="109"/>
      <c r="AD595" s="109"/>
      <c r="AE595" s="109"/>
      <c r="AF595" s="109"/>
    </row>
    <row r="596" spans="1:32" ht="15">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c r="AA596" s="109"/>
      <c r="AB596" s="109"/>
      <c r="AC596" s="109"/>
      <c r="AD596" s="109"/>
      <c r="AE596" s="109"/>
      <c r="AF596" s="109"/>
    </row>
    <row r="597" spans="1:32" ht="15">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c r="AA597" s="109"/>
      <c r="AB597" s="109"/>
      <c r="AC597" s="109"/>
      <c r="AD597" s="109"/>
      <c r="AE597" s="109"/>
      <c r="AF597" s="109"/>
    </row>
    <row r="598" spans="1:32" ht="15">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c r="AA598" s="109"/>
      <c r="AB598" s="109"/>
      <c r="AC598" s="109"/>
      <c r="AD598" s="109"/>
      <c r="AE598" s="109"/>
      <c r="AF598" s="109"/>
    </row>
    <row r="599" spans="1:32" ht="15">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c r="AA599" s="109"/>
      <c r="AB599" s="109"/>
      <c r="AC599" s="109"/>
      <c r="AD599" s="109"/>
      <c r="AE599" s="109"/>
      <c r="AF599" s="109"/>
    </row>
    <row r="600" spans="1:32" ht="15">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c r="AA600" s="109"/>
      <c r="AB600" s="109"/>
      <c r="AC600" s="109"/>
      <c r="AD600" s="109"/>
      <c r="AE600" s="109"/>
      <c r="AF600" s="109"/>
    </row>
    <row r="601" spans="1:32" ht="15">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c r="AA601" s="109"/>
      <c r="AB601" s="109"/>
      <c r="AC601" s="109"/>
      <c r="AD601" s="109"/>
      <c r="AE601" s="109"/>
      <c r="AF601" s="109"/>
    </row>
    <row r="602" spans="1:32" ht="15">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c r="AA602" s="109"/>
      <c r="AB602" s="109"/>
      <c r="AC602" s="109"/>
      <c r="AD602" s="109"/>
      <c r="AE602" s="109"/>
      <c r="AF602" s="109"/>
    </row>
    <row r="603" spans="1:32" ht="15">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c r="AA603" s="109"/>
      <c r="AB603" s="109"/>
      <c r="AC603" s="109"/>
      <c r="AD603" s="109"/>
      <c r="AE603" s="109"/>
      <c r="AF603" s="109"/>
    </row>
    <row r="604" spans="1:32" ht="15">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c r="AA604" s="109"/>
      <c r="AB604" s="109"/>
      <c r="AC604" s="109"/>
      <c r="AD604" s="109"/>
      <c r="AE604" s="109"/>
      <c r="AF604" s="109"/>
    </row>
    <row r="605" spans="1:32" ht="1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c r="AA605" s="109"/>
      <c r="AB605" s="109"/>
      <c r="AC605" s="109"/>
      <c r="AD605" s="109"/>
      <c r="AE605" s="109"/>
      <c r="AF605" s="109"/>
    </row>
    <row r="606" spans="1:32" ht="15">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c r="AA606" s="109"/>
      <c r="AB606" s="109"/>
      <c r="AC606" s="109"/>
      <c r="AD606" s="109"/>
      <c r="AE606" s="109"/>
      <c r="AF606" s="109"/>
    </row>
    <row r="607" spans="1:32" ht="15">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c r="AA607" s="109"/>
      <c r="AB607" s="109"/>
      <c r="AC607" s="109"/>
      <c r="AD607" s="109"/>
      <c r="AE607" s="109"/>
      <c r="AF607" s="109"/>
    </row>
    <row r="608" spans="1:32" ht="15">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c r="AA608" s="109"/>
      <c r="AB608" s="109"/>
      <c r="AC608" s="109"/>
      <c r="AD608" s="109"/>
      <c r="AE608" s="109"/>
      <c r="AF608" s="109"/>
    </row>
    <row r="609" spans="1:32" ht="15">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c r="AA609" s="109"/>
      <c r="AB609" s="109"/>
      <c r="AC609" s="109"/>
      <c r="AD609" s="109"/>
      <c r="AE609" s="109"/>
      <c r="AF609" s="109"/>
    </row>
    <row r="610" spans="1:32" ht="15">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c r="AA610" s="109"/>
      <c r="AB610" s="109"/>
      <c r="AC610" s="109"/>
      <c r="AD610" s="109"/>
      <c r="AE610" s="109"/>
      <c r="AF610" s="109"/>
    </row>
    <row r="611" spans="1:32" ht="15">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c r="AA611" s="109"/>
      <c r="AB611" s="109"/>
      <c r="AC611" s="109"/>
      <c r="AD611" s="109"/>
      <c r="AE611" s="109"/>
      <c r="AF611" s="109"/>
    </row>
    <row r="612" spans="1:32" ht="15">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c r="AA612" s="109"/>
      <c r="AB612" s="109"/>
      <c r="AC612" s="109"/>
      <c r="AD612" s="109"/>
      <c r="AE612" s="109"/>
      <c r="AF612" s="109"/>
    </row>
    <row r="613" spans="1:32" ht="15">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c r="AA613" s="109"/>
      <c r="AB613" s="109"/>
      <c r="AC613" s="109"/>
      <c r="AD613" s="109"/>
      <c r="AE613" s="109"/>
      <c r="AF613" s="109"/>
    </row>
    <row r="614" spans="1:32" ht="15">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c r="AA614" s="109"/>
      <c r="AB614" s="109"/>
      <c r="AC614" s="109"/>
      <c r="AD614" s="109"/>
      <c r="AE614" s="109"/>
      <c r="AF614" s="109"/>
    </row>
    <row r="615" spans="1:32" ht="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c r="AA615" s="109"/>
      <c r="AB615" s="109"/>
      <c r="AC615" s="109"/>
      <c r="AD615" s="109"/>
      <c r="AE615" s="109"/>
      <c r="AF615" s="109"/>
    </row>
    <row r="616" spans="1:32" ht="15">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c r="AA616" s="109"/>
      <c r="AB616" s="109"/>
      <c r="AC616" s="109"/>
      <c r="AD616" s="109"/>
      <c r="AE616" s="109"/>
      <c r="AF616" s="109"/>
    </row>
    <row r="617" spans="1:32" ht="15">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c r="AA617" s="109"/>
      <c r="AB617" s="109"/>
      <c r="AC617" s="109"/>
      <c r="AD617" s="109"/>
      <c r="AE617" s="109"/>
      <c r="AF617" s="109"/>
    </row>
    <row r="618" spans="1:32" ht="15">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c r="AA618" s="109"/>
      <c r="AB618" s="109"/>
      <c r="AC618" s="109"/>
      <c r="AD618" s="109"/>
      <c r="AE618" s="109"/>
      <c r="AF618" s="109"/>
    </row>
    <row r="619" spans="1:32" ht="15">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c r="AA619" s="109"/>
      <c r="AB619" s="109"/>
      <c r="AC619" s="109"/>
      <c r="AD619" s="109"/>
      <c r="AE619" s="109"/>
      <c r="AF619" s="109"/>
    </row>
    <row r="620" spans="1:32" ht="15">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c r="AA620" s="109"/>
      <c r="AB620" s="109"/>
      <c r="AC620" s="109"/>
      <c r="AD620" s="109"/>
      <c r="AE620" s="109"/>
      <c r="AF620" s="109"/>
    </row>
    <row r="621" spans="1:32" ht="15">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c r="AA621" s="109"/>
      <c r="AB621" s="109"/>
      <c r="AC621" s="109"/>
      <c r="AD621" s="109"/>
      <c r="AE621" s="109"/>
      <c r="AF621" s="109"/>
    </row>
    <row r="622" spans="1:32" ht="15">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c r="AA622" s="109"/>
      <c r="AB622" s="109"/>
      <c r="AC622" s="109"/>
      <c r="AD622" s="109"/>
      <c r="AE622" s="109"/>
      <c r="AF622" s="109"/>
    </row>
    <row r="623" spans="1:32" ht="15">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c r="AA623" s="109"/>
      <c r="AB623" s="109"/>
      <c r="AC623" s="109"/>
      <c r="AD623" s="109"/>
      <c r="AE623" s="109"/>
      <c r="AF623" s="109"/>
    </row>
    <row r="624" spans="1:32" ht="15">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c r="AA624" s="109"/>
      <c r="AB624" s="109"/>
      <c r="AC624" s="109"/>
      <c r="AD624" s="109"/>
      <c r="AE624" s="109"/>
      <c r="AF624" s="109"/>
    </row>
    <row r="625" spans="1:32" ht="1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c r="AA625" s="109"/>
      <c r="AB625" s="109"/>
      <c r="AC625" s="109"/>
      <c r="AD625" s="109"/>
      <c r="AE625" s="109"/>
      <c r="AF625" s="109"/>
    </row>
    <row r="626" spans="1:32" ht="15">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c r="AA626" s="109"/>
      <c r="AB626" s="109"/>
      <c r="AC626" s="109"/>
      <c r="AD626" s="109"/>
      <c r="AE626" s="109"/>
      <c r="AF626" s="109"/>
    </row>
    <row r="627" spans="1:32" ht="15">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c r="AA627" s="109"/>
      <c r="AB627" s="109"/>
      <c r="AC627" s="109"/>
      <c r="AD627" s="109"/>
      <c r="AE627" s="109"/>
      <c r="AF627" s="109"/>
    </row>
    <row r="628" spans="1:32" ht="15">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c r="AA628" s="109"/>
      <c r="AB628" s="109"/>
      <c r="AC628" s="109"/>
      <c r="AD628" s="109"/>
      <c r="AE628" s="109"/>
      <c r="AF628" s="109"/>
    </row>
    <row r="629" spans="1:32" ht="15">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c r="AA629" s="109"/>
      <c r="AB629" s="109"/>
      <c r="AC629" s="109"/>
      <c r="AD629" s="109"/>
      <c r="AE629" s="109"/>
      <c r="AF629" s="109"/>
    </row>
    <row r="630" spans="1:32" ht="15">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c r="AA630" s="109"/>
      <c r="AB630" s="109"/>
      <c r="AC630" s="109"/>
      <c r="AD630" s="109"/>
      <c r="AE630" s="109"/>
      <c r="AF630" s="109"/>
    </row>
    <row r="631" spans="1:32" ht="15">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c r="AA631" s="109"/>
      <c r="AB631" s="109"/>
      <c r="AC631" s="109"/>
      <c r="AD631" s="109"/>
      <c r="AE631" s="109"/>
      <c r="AF631" s="109"/>
    </row>
    <row r="632" spans="1:32" ht="15">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c r="AA632" s="109"/>
      <c r="AB632" s="109"/>
      <c r="AC632" s="109"/>
      <c r="AD632" s="109"/>
      <c r="AE632" s="109"/>
      <c r="AF632" s="109"/>
    </row>
    <row r="633" spans="1:32" ht="15">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c r="AA633" s="109"/>
      <c r="AB633" s="109"/>
      <c r="AC633" s="109"/>
      <c r="AD633" s="109"/>
      <c r="AE633" s="109"/>
      <c r="AF633" s="109"/>
    </row>
    <row r="634" spans="1:32" ht="15">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c r="AA634" s="109"/>
      <c r="AB634" s="109"/>
      <c r="AC634" s="109"/>
      <c r="AD634" s="109"/>
      <c r="AE634" s="109"/>
      <c r="AF634" s="109"/>
    </row>
    <row r="635" spans="1:32" ht="1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c r="AA635" s="109"/>
      <c r="AB635" s="109"/>
      <c r="AC635" s="109"/>
      <c r="AD635" s="109"/>
      <c r="AE635" s="109"/>
      <c r="AF635" s="109"/>
    </row>
    <row r="636" spans="1:32" ht="15">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c r="AA636" s="109"/>
      <c r="AB636" s="109"/>
      <c r="AC636" s="109"/>
      <c r="AD636" s="109"/>
      <c r="AE636" s="109"/>
      <c r="AF636" s="109"/>
    </row>
    <row r="637" spans="1:32" ht="15">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c r="AA637" s="109"/>
      <c r="AB637" s="109"/>
      <c r="AC637" s="109"/>
      <c r="AD637" s="109"/>
      <c r="AE637" s="109"/>
      <c r="AF637" s="109"/>
    </row>
    <row r="638" spans="1:32" ht="15">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c r="AA638" s="109"/>
      <c r="AB638" s="109"/>
      <c r="AC638" s="109"/>
      <c r="AD638" s="109"/>
      <c r="AE638" s="109"/>
      <c r="AF638" s="109"/>
    </row>
    <row r="639" spans="1:32" ht="15">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c r="AA639" s="109"/>
      <c r="AB639" s="109"/>
      <c r="AC639" s="109"/>
      <c r="AD639" s="109"/>
      <c r="AE639" s="109"/>
      <c r="AF639" s="109"/>
    </row>
    <row r="640" spans="1:32" ht="15">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c r="AA640" s="109"/>
      <c r="AB640" s="109"/>
      <c r="AC640" s="109"/>
      <c r="AD640" s="109"/>
      <c r="AE640" s="109"/>
      <c r="AF640" s="109"/>
    </row>
    <row r="641" spans="1:32" ht="15">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c r="AA641" s="109"/>
      <c r="AB641" s="109"/>
      <c r="AC641" s="109"/>
      <c r="AD641" s="109"/>
      <c r="AE641" s="109"/>
      <c r="AF641" s="109"/>
    </row>
    <row r="642" spans="1:32" ht="15">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c r="AA642" s="109"/>
      <c r="AB642" s="109"/>
      <c r="AC642" s="109"/>
      <c r="AD642" s="109"/>
      <c r="AE642" s="109"/>
      <c r="AF642" s="109"/>
    </row>
    <row r="643" spans="1:32" ht="15">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c r="AA643" s="109"/>
      <c r="AB643" s="109"/>
      <c r="AC643" s="109"/>
      <c r="AD643" s="109"/>
      <c r="AE643" s="109"/>
      <c r="AF643" s="109"/>
    </row>
    <row r="644" spans="1:32" ht="15">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c r="AA644" s="109"/>
      <c r="AB644" s="109"/>
      <c r="AC644" s="109"/>
      <c r="AD644" s="109"/>
      <c r="AE644" s="109"/>
      <c r="AF644" s="109"/>
    </row>
    <row r="645" spans="1:32" ht="1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c r="AA645" s="109"/>
      <c r="AB645" s="109"/>
      <c r="AC645" s="109"/>
      <c r="AD645" s="109"/>
      <c r="AE645" s="109"/>
      <c r="AF645" s="109"/>
    </row>
    <row r="646" spans="1:32" ht="15">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c r="AA646" s="109"/>
      <c r="AB646" s="109"/>
      <c r="AC646" s="109"/>
      <c r="AD646" s="109"/>
      <c r="AE646" s="109"/>
      <c r="AF646" s="109"/>
    </row>
    <row r="647" spans="1:32" ht="15">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c r="AA647" s="109"/>
      <c r="AB647" s="109"/>
      <c r="AC647" s="109"/>
      <c r="AD647" s="109"/>
      <c r="AE647" s="109"/>
      <c r="AF647" s="109"/>
    </row>
    <row r="648" spans="1:32" ht="15">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c r="AA648" s="109"/>
      <c r="AB648" s="109"/>
      <c r="AC648" s="109"/>
      <c r="AD648" s="109"/>
      <c r="AE648" s="109"/>
      <c r="AF648" s="109"/>
    </row>
    <row r="649" spans="1:32" ht="15">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c r="AA649" s="109"/>
      <c r="AB649" s="109"/>
      <c r="AC649" s="109"/>
      <c r="AD649" s="109"/>
      <c r="AE649" s="109"/>
      <c r="AF649" s="109"/>
    </row>
    <row r="650" spans="1:32" ht="15">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c r="AA650" s="109"/>
      <c r="AB650" s="109"/>
      <c r="AC650" s="109"/>
      <c r="AD650" s="109"/>
      <c r="AE650" s="109"/>
      <c r="AF650" s="109"/>
    </row>
    <row r="651" spans="1:32" ht="15">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c r="AA651" s="109"/>
      <c r="AB651" s="109"/>
      <c r="AC651" s="109"/>
      <c r="AD651" s="109"/>
      <c r="AE651" s="109"/>
      <c r="AF651" s="109"/>
    </row>
    <row r="652" spans="1:32" ht="15">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c r="AA652" s="109"/>
      <c r="AB652" s="109"/>
      <c r="AC652" s="109"/>
      <c r="AD652" s="109"/>
      <c r="AE652" s="109"/>
      <c r="AF652" s="109"/>
    </row>
    <row r="653" spans="1:32" ht="15">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c r="AA653" s="109"/>
      <c r="AB653" s="109"/>
      <c r="AC653" s="109"/>
      <c r="AD653" s="109"/>
      <c r="AE653" s="109"/>
      <c r="AF653" s="109"/>
    </row>
    <row r="654" spans="1:32" ht="15">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c r="AA654" s="109"/>
      <c r="AB654" s="109"/>
      <c r="AC654" s="109"/>
      <c r="AD654" s="109"/>
      <c r="AE654" s="109"/>
      <c r="AF654" s="109"/>
    </row>
    <row r="655" spans="1:32" ht="1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c r="AA655" s="109"/>
      <c r="AB655" s="109"/>
      <c r="AC655" s="109"/>
      <c r="AD655" s="109"/>
      <c r="AE655" s="109"/>
      <c r="AF655" s="109"/>
    </row>
    <row r="656" spans="1:32" ht="15">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c r="AA656" s="109"/>
      <c r="AB656" s="109"/>
      <c r="AC656" s="109"/>
      <c r="AD656" s="109"/>
      <c r="AE656" s="109"/>
      <c r="AF656" s="109"/>
    </row>
    <row r="657" spans="1:32" ht="15">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c r="AA657" s="109"/>
      <c r="AB657" s="109"/>
      <c r="AC657" s="109"/>
      <c r="AD657" s="109"/>
      <c r="AE657" s="109"/>
      <c r="AF657" s="109"/>
    </row>
    <row r="658" spans="1:32" ht="15">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c r="AA658" s="109"/>
      <c r="AB658" s="109"/>
      <c r="AC658" s="109"/>
      <c r="AD658" s="109"/>
      <c r="AE658" s="109"/>
      <c r="AF658" s="109"/>
    </row>
    <row r="659" spans="1:32" ht="15">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c r="AA659" s="109"/>
      <c r="AB659" s="109"/>
      <c r="AC659" s="109"/>
      <c r="AD659" s="109"/>
      <c r="AE659" s="109"/>
      <c r="AF659" s="109"/>
    </row>
    <row r="660" spans="1:32" ht="15">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c r="AA660" s="109"/>
      <c r="AB660" s="109"/>
      <c r="AC660" s="109"/>
      <c r="AD660" s="109"/>
      <c r="AE660" s="109"/>
      <c r="AF660" s="109"/>
    </row>
    <row r="661" spans="1:32" ht="15">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c r="AA661" s="109"/>
      <c r="AB661" s="109"/>
      <c r="AC661" s="109"/>
      <c r="AD661" s="109"/>
      <c r="AE661" s="109"/>
      <c r="AF661" s="109"/>
    </row>
    <row r="662" spans="1:32" ht="15">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c r="AA662" s="109"/>
      <c r="AB662" s="109"/>
      <c r="AC662" s="109"/>
      <c r="AD662" s="109"/>
      <c r="AE662" s="109"/>
      <c r="AF662" s="109"/>
    </row>
    <row r="663" spans="1:32" ht="15">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c r="AA663" s="109"/>
      <c r="AB663" s="109"/>
      <c r="AC663" s="109"/>
      <c r="AD663" s="109"/>
      <c r="AE663" s="109"/>
      <c r="AF663" s="109"/>
    </row>
    <row r="664" spans="1:32" ht="15">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c r="AA664" s="109"/>
      <c r="AB664" s="109"/>
      <c r="AC664" s="109"/>
      <c r="AD664" s="109"/>
      <c r="AE664" s="109"/>
      <c r="AF664" s="109"/>
    </row>
    <row r="665" spans="1:32" ht="1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c r="AA665" s="109"/>
      <c r="AB665" s="109"/>
      <c r="AC665" s="109"/>
      <c r="AD665" s="109"/>
      <c r="AE665" s="109"/>
      <c r="AF665" s="109"/>
    </row>
    <row r="666" spans="1:32" ht="15">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c r="AA666" s="109"/>
      <c r="AB666" s="109"/>
      <c r="AC666" s="109"/>
      <c r="AD666" s="109"/>
      <c r="AE666" s="109"/>
      <c r="AF666" s="109"/>
    </row>
    <row r="667" spans="1:32" ht="15">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c r="AA667" s="109"/>
      <c r="AB667" s="109"/>
      <c r="AC667" s="109"/>
      <c r="AD667" s="109"/>
      <c r="AE667" s="109"/>
      <c r="AF667" s="109"/>
    </row>
    <row r="668" spans="1:32" ht="15">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c r="AA668" s="109"/>
      <c r="AB668" s="109"/>
      <c r="AC668" s="109"/>
      <c r="AD668" s="109"/>
      <c r="AE668" s="109"/>
      <c r="AF668" s="109"/>
    </row>
    <row r="669" spans="1:32" ht="15">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c r="AA669" s="109"/>
      <c r="AB669" s="109"/>
      <c r="AC669" s="109"/>
      <c r="AD669" s="109"/>
      <c r="AE669" s="109"/>
      <c r="AF669" s="109"/>
    </row>
    <row r="670" spans="1:32" ht="15">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c r="AA670" s="109"/>
      <c r="AB670" s="109"/>
      <c r="AC670" s="109"/>
      <c r="AD670" s="109"/>
      <c r="AE670" s="109"/>
      <c r="AF670" s="109"/>
    </row>
    <row r="671" spans="1:32" ht="15">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c r="AA671" s="109"/>
      <c r="AB671" s="109"/>
      <c r="AC671" s="109"/>
      <c r="AD671" s="109"/>
      <c r="AE671" s="109"/>
      <c r="AF671" s="109"/>
    </row>
    <row r="672" spans="1:32" ht="15">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c r="AA672" s="109"/>
      <c r="AB672" s="109"/>
      <c r="AC672" s="109"/>
      <c r="AD672" s="109"/>
      <c r="AE672" s="109"/>
      <c r="AF672" s="109"/>
    </row>
    <row r="673" spans="1:32" ht="15">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c r="AA673" s="109"/>
      <c r="AB673" s="109"/>
      <c r="AC673" s="109"/>
      <c r="AD673" s="109"/>
      <c r="AE673" s="109"/>
      <c r="AF673" s="109"/>
    </row>
    <row r="674" spans="1:32" ht="15">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c r="AA674" s="109"/>
      <c r="AB674" s="109"/>
      <c r="AC674" s="109"/>
      <c r="AD674" s="109"/>
      <c r="AE674" s="109"/>
      <c r="AF674" s="109"/>
    </row>
    <row r="675" spans="1:32" ht="1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c r="AA675" s="109"/>
      <c r="AB675" s="109"/>
      <c r="AC675" s="109"/>
      <c r="AD675" s="109"/>
      <c r="AE675" s="109"/>
      <c r="AF675" s="109"/>
    </row>
    <row r="676" spans="1:32" ht="15">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c r="AA676" s="109"/>
      <c r="AB676" s="109"/>
      <c r="AC676" s="109"/>
      <c r="AD676" s="109"/>
      <c r="AE676" s="109"/>
      <c r="AF676" s="109"/>
    </row>
    <row r="677" spans="1:32" ht="15">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c r="AA677" s="109"/>
      <c r="AB677" s="109"/>
      <c r="AC677" s="109"/>
      <c r="AD677" s="109"/>
      <c r="AE677" s="109"/>
      <c r="AF677" s="109"/>
    </row>
    <row r="678" spans="1:32" ht="15">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c r="AA678" s="109"/>
      <c r="AB678" s="109"/>
      <c r="AC678" s="109"/>
      <c r="AD678" s="109"/>
      <c r="AE678" s="109"/>
      <c r="AF678" s="109"/>
    </row>
    <row r="679" spans="1:32" ht="15">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c r="AA679" s="109"/>
      <c r="AB679" s="109"/>
      <c r="AC679" s="109"/>
      <c r="AD679" s="109"/>
      <c r="AE679" s="109"/>
      <c r="AF679" s="109"/>
    </row>
    <row r="680" spans="1:32" ht="15">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c r="AA680" s="109"/>
      <c r="AB680" s="109"/>
      <c r="AC680" s="109"/>
      <c r="AD680" s="109"/>
      <c r="AE680" s="109"/>
      <c r="AF680" s="109"/>
    </row>
    <row r="681" spans="1:32" ht="15">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c r="AA681" s="109"/>
      <c r="AB681" s="109"/>
      <c r="AC681" s="109"/>
      <c r="AD681" s="109"/>
      <c r="AE681" s="109"/>
      <c r="AF681" s="109"/>
    </row>
    <row r="682" spans="1:32" ht="15">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c r="AA682" s="109"/>
      <c r="AB682" s="109"/>
      <c r="AC682" s="109"/>
      <c r="AD682" s="109"/>
      <c r="AE682" s="109"/>
      <c r="AF682" s="109"/>
    </row>
    <row r="683" spans="1:32" ht="15">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c r="AA683" s="109"/>
      <c r="AB683" s="109"/>
      <c r="AC683" s="109"/>
      <c r="AD683" s="109"/>
      <c r="AE683" s="109"/>
      <c r="AF683" s="109"/>
    </row>
    <row r="684" spans="1:32" ht="15">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c r="AA684" s="109"/>
      <c r="AB684" s="109"/>
      <c r="AC684" s="109"/>
      <c r="AD684" s="109"/>
      <c r="AE684" s="109"/>
      <c r="AF684" s="109"/>
    </row>
    <row r="685" spans="1:32" ht="1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c r="AA685" s="109"/>
      <c r="AB685" s="109"/>
      <c r="AC685" s="109"/>
      <c r="AD685" s="109"/>
      <c r="AE685" s="109"/>
      <c r="AF685" s="109"/>
    </row>
    <row r="686" spans="1:32" ht="15">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c r="AA686" s="109"/>
      <c r="AB686" s="109"/>
      <c r="AC686" s="109"/>
      <c r="AD686" s="109"/>
      <c r="AE686" s="109"/>
      <c r="AF686" s="109"/>
    </row>
    <row r="687" spans="1:32" ht="15">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c r="AA687" s="109"/>
      <c r="AB687" s="109"/>
      <c r="AC687" s="109"/>
      <c r="AD687" s="109"/>
      <c r="AE687" s="109"/>
      <c r="AF687" s="109"/>
    </row>
    <row r="688" spans="1:32" ht="15">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c r="AA688" s="109"/>
      <c r="AB688" s="109"/>
      <c r="AC688" s="109"/>
      <c r="AD688" s="109"/>
      <c r="AE688" s="109"/>
      <c r="AF688" s="109"/>
    </row>
    <row r="689" spans="1:32" ht="15">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c r="AA689" s="109"/>
      <c r="AB689" s="109"/>
      <c r="AC689" s="109"/>
      <c r="AD689" s="109"/>
      <c r="AE689" s="109"/>
      <c r="AF689" s="109"/>
    </row>
    <row r="690" spans="1:32" ht="15">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c r="AA690" s="109"/>
      <c r="AB690" s="109"/>
      <c r="AC690" s="109"/>
      <c r="AD690" s="109"/>
      <c r="AE690" s="109"/>
      <c r="AF690" s="109"/>
    </row>
    <row r="691" spans="1:32" ht="15">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c r="AA691" s="109"/>
      <c r="AB691" s="109"/>
      <c r="AC691" s="109"/>
      <c r="AD691" s="109"/>
      <c r="AE691" s="109"/>
      <c r="AF691" s="109"/>
    </row>
    <row r="692" spans="1:32" ht="15">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c r="AA692" s="109"/>
      <c r="AB692" s="109"/>
      <c r="AC692" s="109"/>
      <c r="AD692" s="109"/>
      <c r="AE692" s="109"/>
      <c r="AF692" s="109"/>
    </row>
    <row r="693" spans="1:32" ht="15">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c r="AA693" s="109"/>
      <c r="AB693" s="109"/>
      <c r="AC693" s="109"/>
      <c r="AD693" s="109"/>
      <c r="AE693" s="109"/>
      <c r="AF693" s="109"/>
    </row>
    <row r="694" spans="1:32" ht="15">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c r="AA694" s="109"/>
      <c r="AB694" s="109"/>
      <c r="AC694" s="109"/>
      <c r="AD694" s="109"/>
      <c r="AE694" s="109"/>
      <c r="AF694" s="109"/>
    </row>
    <row r="695" spans="1:32" ht="1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c r="AA695" s="109"/>
      <c r="AB695" s="109"/>
      <c r="AC695" s="109"/>
      <c r="AD695" s="109"/>
      <c r="AE695" s="109"/>
      <c r="AF695" s="109"/>
    </row>
    <row r="696" spans="1:32" ht="15">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c r="AA696" s="109"/>
      <c r="AB696" s="109"/>
      <c r="AC696" s="109"/>
      <c r="AD696" s="109"/>
      <c r="AE696" s="109"/>
      <c r="AF696" s="109"/>
    </row>
    <row r="697" spans="1:32" ht="15">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c r="AA697" s="109"/>
      <c r="AB697" s="109"/>
      <c r="AC697" s="109"/>
      <c r="AD697" s="109"/>
      <c r="AE697" s="109"/>
      <c r="AF697" s="109"/>
    </row>
    <row r="698" spans="1:32" ht="15">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c r="AA698" s="109"/>
      <c r="AB698" s="109"/>
      <c r="AC698" s="109"/>
      <c r="AD698" s="109"/>
      <c r="AE698" s="109"/>
      <c r="AF698" s="109"/>
    </row>
    <row r="699" spans="1:32" ht="15">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c r="AA699" s="109"/>
      <c r="AB699" s="109"/>
      <c r="AC699" s="109"/>
      <c r="AD699" s="109"/>
      <c r="AE699" s="109"/>
      <c r="AF699" s="109"/>
    </row>
    <row r="700" spans="1:32" ht="15">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c r="AA700" s="109"/>
      <c r="AB700" s="109"/>
      <c r="AC700" s="109"/>
      <c r="AD700" s="109"/>
      <c r="AE700" s="109"/>
      <c r="AF700" s="109"/>
    </row>
    <row r="701" spans="1:32" ht="15">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c r="AA701" s="109"/>
      <c r="AB701" s="109"/>
      <c r="AC701" s="109"/>
      <c r="AD701" s="109"/>
      <c r="AE701" s="109"/>
      <c r="AF701" s="109"/>
    </row>
    <row r="702" spans="1:32" ht="15">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c r="AA702" s="109"/>
      <c r="AB702" s="109"/>
      <c r="AC702" s="109"/>
      <c r="AD702" s="109"/>
      <c r="AE702" s="109"/>
      <c r="AF702" s="109"/>
    </row>
    <row r="703" spans="1:32" ht="15">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c r="AA703" s="109"/>
      <c r="AB703" s="109"/>
      <c r="AC703" s="109"/>
      <c r="AD703" s="109"/>
      <c r="AE703" s="109"/>
      <c r="AF703" s="109"/>
    </row>
    <row r="704" spans="1:32" ht="15">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c r="AA704" s="109"/>
      <c r="AB704" s="109"/>
      <c r="AC704" s="109"/>
      <c r="AD704" s="109"/>
      <c r="AE704" s="109"/>
      <c r="AF704" s="109"/>
    </row>
    <row r="705" spans="1:32" ht="1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c r="AA705" s="109"/>
      <c r="AB705" s="109"/>
      <c r="AC705" s="109"/>
      <c r="AD705" s="109"/>
      <c r="AE705" s="109"/>
      <c r="AF705" s="109"/>
    </row>
    <row r="706" spans="1:32" ht="15">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c r="AA706" s="109"/>
      <c r="AB706" s="109"/>
      <c r="AC706" s="109"/>
      <c r="AD706" s="109"/>
      <c r="AE706" s="109"/>
      <c r="AF706" s="109"/>
    </row>
    <row r="707" spans="1:32" ht="15">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c r="AA707" s="109"/>
      <c r="AB707" s="109"/>
      <c r="AC707" s="109"/>
      <c r="AD707" s="109"/>
      <c r="AE707" s="109"/>
      <c r="AF707" s="109"/>
    </row>
    <row r="708" spans="1:32" ht="15">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c r="AA708" s="109"/>
      <c r="AB708" s="109"/>
      <c r="AC708" s="109"/>
      <c r="AD708" s="109"/>
      <c r="AE708" s="109"/>
      <c r="AF708" s="109"/>
    </row>
    <row r="709" spans="1:32" ht="15">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c r="AA709" s="109"/>
      <c r="AB709" s="109"/>
      <c r="AC709" s="109"/>
      <c r="AD709" s="109"/>
      <c r="AE709" s="109"/>
      <c r="AF709" s="109"/>
    </row>
    <row r="710" spans="1:32" ht="15">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c r="AA710" s="109"/>
      <c r="AB710" s="109"/>
      <c r="AC710" s="109"/>
      <c r="AD710" s="109"/>
      <c r="AE710" s="109"/>
      <c r="AF710" s="109"/>
    </row>
    <row r="711" spans="1:32" ht="15">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c r="AA711" s="109"/>
      <c r="AB711" s="109"/>
      <c r="AC711" s="109"/>
      <c r="AD711" s="109"/>
      <c r="AE711" s="109"/>
      <c r="AF711" s="109"/>
    </row>
    <row r="712" spans="1:32" ht="15">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c r="AA712" s="109"/>
      <c r="AB712" s="109"/>
      <c r="AC712" s="109"/>
      <c r="AD712" s="109"/>
      <c r="AE712" s="109"/>
      <c r="AF712" s="109"/>
    </row>
    <row r="713" spans="1:32" ht="15">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c r="AA713" s="109"/>
      <c r="AB713" s="109"/>
      <c r="AC713" s="109"/>
      <c r="AD713" s="109"/>
      <c r="AE713" s="109"/>
      <c r="AF713" s="109"/>
    </row>
    <row r="714" spans="1:32" ht="15">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c r="AA714" s="109"/>
      <c r="AB714" s="109"/>
      <c r="AC714" s="109"/>
      <c r="AD714" s="109"/>
      <c r="AE714" s="109"/>
      <c r="AF714" s="109"/>
    </row>
    <row r="715" spans="1:32" ht="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c r="AA715" s="109"/>
      <c r="AB715" s="109"/>
      <c r="AC715" s="109"/>
      <c r="AD715" s="109"/>
      <c r="AE715" s="109"/>
      <c r="AF715" s="109"/>
    </row>
    <row r="716" spans="1:32" ht="15">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c r="AA716" s="109"/>
      <c r="AB716" s="109"/>
      <c r="AC716" s="109"/>
      <c r="AD716" s="109"/>
      <c r="AE716" s="109"/>
      <c r="AF716" s="109"/>
    </row>
    <row r="717" spans="1:32" ht="15">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c r="AA717" s="109"/>
      <c r="AB717" s="109"/>
      <c r="AC717" s="109"/>
      <c r="AD717" s="109"/>
      <c r="AE717" s="109"/>
      <c r="AF717" s="109"/>
    </row>
    <row r="718" spans="1:32" ht="15">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c r="AA718" s="109"/>
      <c r="AB718" s="109"/>
      <c r="AC718" s="109"/>
      <c r="AD718" s="109"/>
      <c r="AE718" s="109"/>
      <c r="AF718" s="109"/>
    </row>
    <row r="719" spans="1:32" ht="15">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c r="AA719" s="109"/>
      <c r="AB719" s="109"/>
      <c r="AC719" s="109"/>
      <c r="AD719" s="109"/>
      <c r="AE719" s="109"/>
      <c r="AF719" s="109"/>
    </row>
    <row r="720" spans="1:32" ht="15">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c r="AA720" s="109"/>
      <c r="AB720" s="109"/>
      <c r="AC720" s="109"/>
      <c r="AD720" s="109"/>
      <c r="AE720" s="109"/>
      <c r="AF720" s="109"/>
    </row>
    <row r="721" spans="1:32" ht="15">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c r="AA721" s="109"/>
      <c r="AB721" s="109"/>
      <c r="AC721" s="109"/>
      <c r="AD721" s="109"/>
      <c r="AE721" s="109"/>
      <c r="AF721" s="109"/>
    </row>
    <row r="722" spans="1:32" ht="15">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c r="AA722" s="109"/>
      <c r="AB722" s="109"/>
      <c r="AC722" s="109"/>
      <c r="AD722" s="109"/>
      <c r="AE722" s="109"/>
      <c r="AF722" s="109"/>
    </row>
    <row r="723" spans="1:32" ht="15">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c r="AA723" s="109"/>
      <c r="AB723" s="109"/>
      <c r="AC723" s="109"/>
      <c r="AD723" s="109"/>
      <c r="AE723" s="109"/>
      <c r="AF723" s="109"/>
    </row>
    <row r="724" spans="1:32" ht="15">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c r="AA724" s="109"/>
      <c r="AB724" s="109"/>
      <c r="AC724" s="109"/>
      <c r="AD724" s="109"/>
      <c r="AE724" s="109"/>
      <c r="AF724" s="109"/>
    </row>
    <row r="725" spans="1:32" ht="1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c r="AA725" s="109"/>
      <c r="AB725" s="109"/>
      <c r="AC725" s="109"/>
      <c r="AD725" s="109"/>
      <c r="AE725" s="109"/>
      <c r="AF725" s="109"/>
    </row>
    <row r="726" spans="1:32" ht="15">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c r="AA726" s="109"/>
      <c r="AB726" s="109"/>
      <c r="AC726" s="109"/>
      <c r="AD726" s="109"/>
      <c r="AE726" s="109"/>
      <c r="AF726" s="109"/>
    </row>
    <row r="727" spans="1:32" ht="15">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c r="AA727" s="109"/>
      <c r="AB727" s="109"/>
      <c r="AC727" s="109"/>
      <c r="AD727" s="109"/>
      <c r="AE727" s="109"/>
      <c r="AF727" s="109"/>
    </row>
    <row r="728" spans="1:32" ht="15">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c r="AA728" s="109"/>
      <c r="AB728" s="109"/>
      <c r="AC728" s="109"/>
      <c r="AD728" s="109"/>
      <c r="AE728" s="109"/>
      <c r="AF728" s="109"/>
    </row>
    <row r="729" spans="1:32" ht="15">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c r="AA729" s="109"/>
      <c r="AB729" s="109"/>
      <c r="AC729" s="109"/>
      <c r="AD729" s="109"/>
      <c r="AE729" s="109"/>
      <c r="AF729" s="109"/>
    </row>
    <row r="730" spans="1:32" ht="15">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c r="AA730" s="109"/>
      <c r="AB730" s="109"/>
      <c r="AC730" s="109"/>
      <c r="AD730" s="109"/>
      <c r="AE730" s="109"/>
      <c r="AF730" s="109"/>
    </row>
    <row r="731" spans="1:32" ht="15">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c r="AA731" s="109"/>
      <c r="AB731" s="109"/>
      <c r="AC731" s="109"/>
      <c r="AD731" s="109"/>
      <c r="AE731" s="109"/>
      <c r="AF731" s="109"/>
    </row>
    <row r="732" spans="1:32" ht="15">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c r="AA732" s="109"/>
      <c r="AB732" s="109"/>
      <c r="AC732" s="109"/>
      <c r="AD732" s="109"/>
      <c r="AE732" s="109"/>
      <c r="AF732" s="109"/>
    </row>
    <row r="733" spans="1:32" ht="15">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c r="AA733" s="109"/>
      <c r="AB733" s="109"/>
      <c r="AC733" s="109"/>
      <c r="AD733" s="109"/>
      <c r="AE733" s="109"/>
      <c r="AF733" s="109"/>
    </row>
    <row r="734" spans="1:32" ht="15">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c r="AA734" s="109"/>
      <c r="AB734" s="109"/>
      <c r="AC734" s="109"/>
      <c r="AD734" s="109"/>
      <c r="AE734" s="109"/>
      <c r="AF734" s="109"/>
    </row>
    <row r="735" spans="1:32" ht="1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c r="AA735" s="109"/>
      <c r="AB735" s="109"/>
      <c r="AC735" s="109"/>
      <c r="AD735" s="109"/>
      <c r="AE735" s="109"/>
      <c r="AF735" s="109"/>
    </row>
    <row r="736" spans="1:32" ht="15">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c r="AA736" s="109"/>
      <c r="AB736" s="109"/>
      <c r="AC736" s="109"/>
      <c r="AD736" s="109"/>
      <c r="AE736" s="109"/>
      <c r="AF736" s="109"/>
    </row>
    <row r="737" spans="1:32" ht="15">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c r="AA737" s="109"/>
      <c r="AB737" s="109"/>
      <c r="AC737" s="109"/>
      <c r="AD737" s="109"/>
      <c r="AE737" s="109"/>
      <c r="AF737" s="109"/>
    </row>
    <row r="738" spans="1:32" ht="15">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c r="AA738" s="109"/>
      <c r="AB738" s="109"/>
      <c r="AC738" s="109"/>
      <c r="AD738" s="109"/>
      <c r="AE738" s="109"/>
      <c r="AF738" s="109"/>
    </row>
    <row r="739" spans="1:32" ht="15">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c r="AA739" s="109"/>
      <c r="AB739" s="109"/>
      <c r="AC739" s="109"/>
      <c r="AD739" s="109"/>
      <c r="AE739" s="109"/>
      <c r="AF739" s="109"/>
    </row>
    <row r="740" spans="1:32" ht="15">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c r="AA740" s="109"/>
      <c r="AB740" s="109"/>
      <c r="AC740" s="109"/>
      <c r="AD740" s="109"/>
      <c r="AE740" s="109"/>
      <c r="AF740" s="109"/>
    </row>
    <row r="741" spans="1:32" ht="15">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c r="AA741" s="109"/>
      <c r="AB741" s="109"/>
      <c r="AC741" s="109"/>
      <c r="AD741" s="109"/>
      <c r="AE741" s="109"/>
      <c r="AF741" s="109"/>
    </row>
    <row r="742" spans="1:32" ht="15">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c r="AA742" s="109"/>
      <c r="AB742" s="109"/>
      <c r="AC742" s="109"/>
      <c r="AD742" s="109"/>
      <c r="AE742" s="109"/>
      <c r="AF742" s="109"/>
    </row>
    <row r="743" spans="1:32" ht="15">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c r="AA743" s="109"/>
      <c r="AB743" s="109"/>
      <c r="AC743" s="109"/>
      <c r="AD743" s="109"/>
      <c r="AE743" s="109"/>
      <c r="AF743" s="109"/>
    </row>
    <row r="744" spans="1:32" ht="15">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c r="AA744" s="109"/>
      <c r="AB744" s="109"/>
      <c r="AC744" s="109"/>
      <c r="AD744" s="109"/>
      <c r="AE744" s="109"/>
      <c r="AF744" s="109"/>
    </row>
    <row r="745" spans="1:32" ht="1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c r="AA745" s="109"/>
      <c r="AB745" s="109"/>
      <c r="AC745" s="109"/>
      <c r="AD745" s="109"/>
      <c r="AE745" s="109"/>
      <c r="AF745" s="109"/>
    </row>
    <row r="746" spans="1:32" ht="15">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c r="AA746" s="109"/>
      <c r="AB746" s="109"/>
      <c r="AC746" s="109"/>
      <c r="AD746" s="109"/>
      <c r="AE746" s="109"/>
      <c r="AF746" s="109"/>
    </row>
    <row r="747" spans="1:32" ht="15">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c r="AA747" s="109"/>
      <c r="AB747" s="109"/>
      <c r="AC747" s="109"/>
      <c r="AD747" s="109"/>
      <c r="AE747" s="109"/>
      <c r="AF747" s="109"/>
    </row>
    <row r="748" spans="1:32" ht="15">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c r="AA748" s="109"/>
      <c r="AB748" s="109"/>
      <c r="AC748" s="109"/>
      <c r="AD748" s="109"/>
      <c r="AE748" s="109"/>
      <c r="AF748" s="109"/>
    </row>
    <row r="749" spans="1:32" ht="15">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c r="AA749" s="109"/>
      <c r="AB749" s="109"/>
      <c r="AC749" s="109"/>
      <c r="AD749" s="109"/>
      <c r="AE749" s="109"/>
      <c r="AF749" s="109"/>
    </row>
    <row r="750" spans="1:32" ht="15">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c r="AA750" s="109"/>
      <c r="AB750" s="109"/>
      <c r="AC750" s="109"/>
      <c r="AD750" s="109"/>
      <c r="AE750" s="109"/>
      <c r="AF750" s="109"/>
    </row>
    <row r="751" spans="1:32" ht="15">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c r="AA751" s="109"/>
      <c r="AB751" s="109"/>
      <c r="AC751" s="109"/>
      <c r="AD751" s="109"/>
      <c r="AE751" s="109"/>
      <c r="AF751" s="109"/>
    </row>
    <row r="752" spans="1:32" ht="15">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c r="AA752" s="109"/>
      <c r="AB752" s="109"/>
      <c r="AC752" s="109"/>
      <c r="AD752" s="109"/>
      <c r="AE752" s="109"/>
      <c r="AF752" s="109"/>
    </row>
    <row r="753" spans="1:32" ht="15">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c r="AA753" s="109"/>
      <c r="AB753" s="109"/>
      <c r="AC753" s="109"/>
      <c r="AD753" s="109"/>
      <c r="AE753" s="109"/>
      <c r="AF753" s="109"/>
    </row>
    <row r="754" spans="1:32" ht="15">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c r="AA754" s="109"/>
      <c r="AB754" s="109"/>
      <c r="AC754" s="109"/>
      <c r="AD754" s="109"/>
      <c r="AE754" s="109"/>
      <c r="AF754" s="109"/>
    </row>
    <row r="755" spans="1:32" ht="1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c r="AA755" s="109"/>
      <c r="AB755" s="109"/>
      <c r="AC755" s="109"/>
      <c r="AD755" s="109"/>
      <c r="AE755" s="109"/>
      <c r="AF755" s="109"/>
    </row>
    <row r="756" spans="1:32" ht="15">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c r="AA756" s="109"/>
      <c r="AB756" s="109"/>
      <c r="AC756" s="109"/>
      <c r="AD756" s="109"/>
      <c r="AE756" s="109"/>
      <c r="AF756" s="109"/>
    </row>
    <row r="757" spans="1:32" ht="15">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c r="AA757" s="109"/>
      <c r="AB757" s="109"/>
      <c r="AC757" s="109"/>
      <c r="AD757" s="109"/>
      <c r="AE757" s="109"/>
      <c r="AF757" s="109"/>
    </row>
    <row r="758" spans="1:32" ht="15">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c r="AA758" s="109"/>
      <c r="AB758" s="109"/>
      <c r="AC758" s="109"/>
      <c r="AD758" s="109"/>
      <c r="AE758" s="109"/>
      <c r="AF758" s="109"/>
    </row>
    <row r="759" spans="1:32" ht="15">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c r="AA759" s="109"/>
      <c r="AB759" s="109"/>
      <c r="AC759" s="109"/>
      <c r="AD759" s="109"/>
      <c r="AE759" s="109"/>
      <c r="AF759" s="109"/>
    </row>
    <row r="760" spans="1:32" ht="15">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c r="AA760" s="109"/>
      <c r="AB760" s="109"/>
      <c r="AC760" s="109"/>
      <c r="AD760" s="109"/>
      <c r="AE760" s="109"/>
      <c r="AF760" s="109"/>
    </row>
    <row r="761" spans="1:32" ht="15">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c r="AA761" s="109"/>
      <c r="AB761" s="109"/>
      <c r="AC761" s="109"/>
      <c r="AD761" s="109"/>
      <c r="AE761" s="109"/>
      <c r="AF761" s="109"/>
    </row>
    <row r="762" spans="1:32" ht="15">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c r="AA762" s="109"/>
      <c r="AB762" s="109"/>
      <c r="AC762" s="109"/>
      <c r="AD762" s="109"/>
      <c r="AE762" s="109"/>
      <c r="AF762" s="109"/>
    </row>
    <row r="763" spans="1:32" ht="15">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c r="AA763" s="109"/>
      <c r="AB763" s="109"/>
      <c r="AC763" s="109"/>
      <c r="AD763" s="109"/>
      <c r="AE763" s="109"/>
      <c r="AF763" s="109"/>
    </row>
    <row r="764" spans="1:32" ht="15">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c r="AA764" s="109"/>
      <c r="AB764" s="109"/>
      <c r="AC764" s="109"/>
      <c r="AD764" s="109"/>
      <c r="AE764" s="109"/>
      <c r="AF764" s="109"/>
    </row>
    <row r="765" spans="1:32" ht="1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c r="AA765" s="109"/>
      <c r="AB765" s="109"/>
      <c r="AC765" s="109"/>
      <c r="AD765" s="109"/>
      <c r="AE765" s="109"/>
      <c r="AF765" s="109"/>
    </row>
    <row r="766" spans="1:32" ht="15">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c r="AA766" s="109"/>
      <c r="AB766" s="109"/>
      <c r="AC766" s="109"/>
      <c r="AD766" s="109"/>
      <c r="AE766" s="109"/>
      <c r="AF766" s="109"/>
    </row>
    <row r="767" spans="1:32" ht="15">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c r="AA767" s="109"/>
      <c r="AB767" s="109"/>
      <c r="AC767" s="109"/>
      <c r="AD767" s="109"/>
      <c r="AE767" s="109"/>
      <c r="AF767" s="109"/>
    </row>
    <row r="768" spans="1:32" ht="15">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c r="AA768" s="109"/>
      <c r="AB768" s="109"/>
      <c r="AC768" s="109"/>
      <c r="AD768" s="109"/>
      <c r="AE768" s="109"/>
      <c r="AF768" s="109"/>
    </row>
    <row r="769" spans="1:32" ht="15">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c r="AA769" s="109"/>
      <c r="AB769" s="109"/>
      <c r="AC769" s="109"/>
      <c r="AD769" s="109"/>
      <c r="AE769" s="109"/>
      <c r="AF769" s="109"/>
    </row>
    <row r="770" spans="1:32" ht="15">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c r="AA770" s="109"/>
      <c r="AB770" s="109"/>
      <c r="AC770" s="109"/>
      <c r="AD770" s="109"/>
      <c r="AE770" s="109"/>
      <c r="AF770" s="109"/>
    </row>
    <row r="771" spans="1:32" ht="15">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c r="AA771" s="109"/>
      <c r="AB771" s="109"/>
      <c r="AC771" s="109"/>
      <c r="AD771" s="109"/>
      <c r="AE771" s="109"/>
      <c r="AF771" s="109"/>
    </row>
    <row r="772" spans="1:32" ht="15">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c r="AA772" s="109"/>
      <c r="AB772" s="109"/>
      <c r="AC772" s="109"/>
      <c r="AD772" s="109"/>
      <c r="AE772" s="109"/>
      <c r="AF772" s="109"/>
    </row>
    <row r="773" spans="1:32" ht="15">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c r="AA773" s="109"/>
      <c r="AB773" s="109"/>
      <c r="AC773" s="109"/>
      <c r="AD773" s="109"/>
      <c r="AE773" s="109"/>
      <c r="AF773" s="109"/>
    </row>
    <row r="774" spans="1:32" ht="15">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c r="AA774" s="109"/>
      <c r="AB774" s="109"/>
      <c r="AC774" s="109"/>
      <c r="AD774" s="109"/>
      <c r="AE774" s="109"/>
      <c r="AF774" s="109"/>
    </row>
    <row r="775" spans="1:32" ht="1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c r="AA775" s="109"/>
      <c r="AB775" s="109"/>
      <c r="AC775" s="109"/>
      <c r="AD775" s="109"/>
      <c r="AE775" s="109"/>
      <c r="AF775" s="109"/>
    </row>
    <row r="776" spans="1:32" ht="15">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c r="AA776" s="109"/>
      <c r="AB776" s="109"/>
      <c r="AC776" s="109"/>
      <c r="AD776" s="109"/>
      <c r="AE776" s="109"/>
      <c r="AF776" s="109"/>
    </row>
    <row r="777" spans="1:32" ht="15">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c r="AA777" s="109"/>
      <c r="AB777" s="109"/>
      <c r="AC777" s="109"/>
      <c r="AD777" s="109"/>
      <c r="AE777" s="109"/>
      <c r="AF777" s="109"/>
    </row>
    <row r="778" spans="1:32" ht="15">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c r="AA778" s="109"/>
      <c r="AB778" s="109"/>
      <c r="AC778" s="109"/>
      <c r="AD778" s="109"/>
      <c r="AE778" s="109"/>
      <c r="AF778" s="109"/>
    </row>
    <row r="779" spans="1:32" ht="15">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c r="AA779" s="109"/>
      <c r="AB779" s="109"/>
      <c r="AC779" s="109"/>
      <c r="AD779" s="109"/>
      <c r="AE779" s="109"/>
      <c r="AF779" s="109"/>
    </row>
    <row r="780" spans="1:32" ht="15">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c r="AA780" s="109"/>
      <c r="AB780" s="109"/>
      <c r="AC780" s="109"/>
      <c r="AD780" s="109"/>
      <c r="AE780" s="109"/>
      <c r="AF780" s="109"/>
    </row>
    <row r="781" spans="1:32" ht="15">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c r="AA781" s="109"/>
      <c r="AB781" s="109"/>
      <c r="AC781" s="109"/>
      <c r="AD781" s="109"/>
      <c r="AE781" s="109"/>
      <c r="AF781" s="109"/>
    </row>
    <row r="782" spans="1:32" ht="15">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c r="AA782" s="109"/>
      <c r="AB782" s="109"/>
      <c r="AC782" s="109"/>
      <c r="AD782" s="109"/>
      <c r="AE782" s="109"/>
      <c r="AF782" s="109"/>
    </row>
    <row r="783" spans="1:32" ht="15">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c r="AA783" s="109"/>
      <c r="AB783" s="109"/>
      <c r="AC783" s="109"/>
      <c r="AD783" s="109"/>
      <c r="AE783" s="109"/>
      <c r="AF783" s="109"/>
    </row>
    <row r="784" spans="1:32" ht="15">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c r="AA784" s="109"/>
      <c r="AB784" s="109"/>
      <c r="AC784" s="109"/>
      <c r="AD784" s="109"/>
      <c r="AE784" s="109"/>
      <c r="AF784" s="109"/>
    </row>
    <row r="785" spans="1:32" ht="1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c r="AA785" s="109"/>
      <c r="AB785" s="109"/>
      <c r="AC785" s="109"/>
      <c r="AD785" s="109"/>
      <c r="AE785" s="109"/>
      <c r="AF785" s="109"/>
    </row>
    <row r="786" spans="1:32" ht="15">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c r="AA786" s="109"/>
      <c r="AB786" s="109"/>
      <c r="AC786" s="109"/>
      <c r="AD786" s="109"/>
      <c r="AE786" s="109"/>
      <c r="AF786" s="109"/>
    </row>
    <row r="787" spans="1:32" ht="15">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c r="AA787" s="109"/>
      <c r="AB787" s="109"/>
      <c r="AC787" s="109"/>
      <c r="AD787" s="109"/>
      <c r="AE787" s="109"/>
      <c r="AF787" s="109"/>
    </row>
    <row r="788" spans="1:32" ht="15">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c r="AA788" s="109"/>
      <c r="AB788" s="109"/>
      <c r="AC788" s="109"/>
      <c r="AD788" s="109"/>
      <c r="AE788" s="109"/>
      <c r="AF788" s="109"/>
    </row>
    <row r="789" spans="1:32" ht="15">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c r="AA789" s="109"/>
      <c r="AB789" s="109"/>
      <c r="AC789" s="109"/>
      <c r="AD789" s="109"/>
      <c r="AE789" s="109"/>
      <c r="AF789" s="109"/>
    </row>
    <row r="790" spans="1:32" ht="15">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c r="AA790" s="109"/>
      <c r="AB790" s="109"/>
      <c r="AC790" s="109"/>
      <c r="AD790" s="109"/>
      <c r="AE790" s="109"/>
      <c r="AF790" s="109"/>
    </row>
    <row r="791" spans="1:32" ht="15">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c r="AA791" s="109"/>
      <c r="AB791" s="109"/>
      <c r="AC791" s="109"/>
      <c r="AD791" s="109"/>
      <c r="AE791" s="109"/>
      <c r="AF791" s="109"/>
    </row>
    <row r="792" spans="1:32" ht="15">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c r="AA792" s="109"/>
      <c r="AB792" s="109"/>
      <c r="AC792" s="109"/>
      <c r="AD792" s="109"/>
      <c r="AE792" s="109"/>
      <c r="AF792" s="109"/>
    </row>
    <row r="793" spans="1:32" ht="15">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c r="AA793" s="109"/>
      <c r="AB793" s="109"/>
      <c r="AC793" s="109"/>
      <c r="AD793" s="109"/>
      <c r="AE793" s="109"/>
      <c r="AF793" s="109"/>
    </row>
    <row r="794" spans="1:32" ht="15">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c r="AA794" s="109"/>
      <c r="AB794" s="109"/>
      <c r="AC794" s="109"/>
      <c r="AD794" s="109"/>
      <c r="AE794" s="109"/>
      <c r="AF794" s="109"/>
    </row>
    <row r="795" spans="1:32" ht="1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c r="AA795" s="109"/>
      <c r="AB795" s="109"/>
      <c r="AC795" s="109"/>
      <c r="AD795" s="109"/>
      <c r="AE795" s="109"/>
      <c r="AF795" s="109"/>
    </row>
    <row r="796" spans="1:32" ht="15">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c r="AA796" s="109"/>
      <c r="AB796" s="109"/>
      <c r="AC796" s="109"/>
      <c r="AD796" s="109"/>
      <c r="AE796" s="109"/>
      <c r="AF796" s="109"/>
    </row>
    <row r="797" spans="1:32" ht="15">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c r="AA797" s="109"/>
      <c r="AB797" s="109"/>
      <c r="AC797" s="109"/>
      <c r="AD797" s="109"/>
      <c r="AE797" s="109"/>
      <c r="AF797" s="109"/>
    </row>
    <row r="798" spans="1:32" ht="15">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c r="AA798" s="109"/>
      <c r="AB798" s="109"/>
      <c r="AC798" s="109"/>
      <c r="AD798" s="109"/>
      <c r="AE798" s="109"/>
      <c r="AF798" s="109"/>
    </row>
    <row r="799" spans="1:32" ht="15">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c r="AA799" s="109"/>
      <c r="AB799" s="109"/>
      <c r="AC799" s="109"/>
      <c r="AD799" s="109"/>
      <c r="AE799" s="109"/>
      <c r="AF799" s="109"/>
    </row>
    <row r="800" spans="1:32" ht="15">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c r="AA800" s="109"/>
      <c r="AB800" s="109"/>
      <c r="AC800" s="109"/>
      <c r="AD800" s="109"/>
      <c r="AE800" s="109"/>
      <c r="AF800" s="109"/>
    </row>
    <row r="801" spans="1:32" ht="15">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c r="AA801" s="109"/>
      <c r="AB801" s="109"/>
      <c r="AC801" s="109"/>
      <c r="AD801" s="109"/>
      <c r="AE801" s="109"/>
      <c r="AF801" s="109"/>
    </row>
    <row r="802" spans="1:32" ht="15">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c r="AA802" s="109"/>
      <c r="AB802" s="109"/>
      <c r="AC802" s="109"/>
      <c r="AD802" s="109"/>
      <c r="AE802" s="109"/>
      <c r="AF802" s="109"/>
    </row>
    <row r="803" spans="1:32" ht="15">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c r="AA803" s="109"/>
      <c r="AB803" s="109"/>
      <c r="AC803" s="109"/>
      <c r="AD803" s="109"/>
      <c r="AE803" s="109"/>
      <c r="AF803" s="109"/>
    </row>
    <row r="804" spans="1:32" ht="15">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c r="AA804" s="109"/>
      <c r="AB804" s="109"/>
      <c r="AC804" s="109"/>
      <c r="AD804" s="109"/>
      <c r="AE804" s="109"/>
      <c r="AF804" s="109"/>
    </row>
    <row r="805" spans="1:32" ht="1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c r="AA805" s="109"/>
      <c r="AB805" s="109"/>
      <c r="AC805" s="109"/>
      <c r="AD805" s="109"/>
      <c r="AE805" s="109"/>
      <c r="AF805" s="109"/>
    </row>
    <row r="806" spans="1:32" ht="15">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c r="AA806" s="109"/>
      <c r="AB806" s="109"/>
      <c r="AC806" s="109"/>
      <c r="AD806" s="109"/>
      <c r="AE806" s="109"/>
      <c r="AF806" s="109"/>
    </row>
    <row r="807" spans="1:32" ht="15">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c r="AA807" s="109"/>
      <c r="AB807" s="109"/>
      <c r="AC807" s="109"/>
      <c r="AD807" s="109"/>
      <c r="AE807" s="109"/>
      <c r="AF807" s="109"/>
    </row>
    <row r="808" spans="1:32" ht="15">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c r="AA808" s="109"/>
      <c r="AB808" s="109"/>
      <c r="AC808" s="109"/>
      <c r="AD808" s="109"/>
      <c r="AE808" s="109"/>
      <c r="AF808" s="109"/>
    </row>
    <row r="809" spans="1:32" ht="15">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c r="AA809" s="109"/>
      <c r="AB809" s="109"/>
      <c r="AC809" s="109"/>
      <c r="AD809" s="109"/>
      <c r="AE809" s="109"/>
      <c r="AF809" s="109"/>
    </row>
    <row r="810" spans="1:32" ht="15">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c r="AA810" s="109"/>
      <c r="AB810" s="109"/>
      <c r="AC810" s="109"/>
      <c r="AD810" s="109"/>
      <c r="AE810" s="109"/>
      <c r="AF810" s="109"/>
    </row>
    <row r="811" spans="1:32" ht="15">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c r="AA811" s="109"/>
      <c r="AB811" s="109"/>
      <c r="AC811" s="109"/>
      <c r="AD811" s="109"/>
      <c r="AE811" s="109"/>
      <c r="AF811" s="109"/>
    </row>
    <row r="812" spans="1:32" ht="15">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c r="AA812" s="109"/>
      <c r="AB812" s="109"/>
      <c r="AC812" s="109"/>
      <c r="AD812" s="109"/>
      <c r="AE812" s="109"/>
      <c r="AF812" s="109"/>
    </row>
    <row r="813" spans="1:32" ht="15">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c r="AA813" s="109"/>
      <c r="AB813" s="109"/>
      <c r="AC813" s="109"/>
      <c r="AD813" s="109"/>
      <c r="AE813" s="109"/>
      <c r="AF813" s="109"/>
    </row>
    <row r="814" spans="1:32" ht="15">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c r="AA814" s="109"/>
      <c r="AB814" s="109"/>
      <c r="AC814" s="109"/>
      <c r="AD814" s="109"/>
      <c r="AE814" s="109"/>
      <c r="AF814" s="109"/>
    </row>
    <row r="815" spans="1:32" ht="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c r="AA815" s="109"/>
      <c r="AB815" s="109"/>
      <c r="AC815" s="109"/>
      <c r="AD815" s="109"/>
      <c r="AE815" s="109"/>
      <c r="AF815" s="109"/>
    </row>
    <row r="816" spans="1:32" ht="15">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c r="AA816" s="109"/>
      <c r="AB816" s="109"/>
      <c r="AC816" s="109"/>
      <c r="AD816" s="109"/>
      <c r="AE816" s="109"/>
      <c r="AF816" s="109"/>
    </row>
    <row r="817" spans="1:32" ht="15">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c r="AA817" s="109"/>
      <c r="AB817" s="109"/>
      <c r="AC817" s="109"/>
      <c r="AD817" s="109"/>
      <c r="AE817" s="109"/>
      <c r="AF817" s="109"/>
    </row>
    <row r="818" spans="1:32" ht="15">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c r="AA818" s="109"/>
      <c r="AB818" s="109"/>
      <c r="AC818" s="109"/>
      <c r="AD818" s="109"/>
      <c r="AE818" s="109"/>
      <c r="AF818" s="109"/>
    </row>
    <row r="819" spans="1:32" ht="15">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c r="AA819" s="109"/>
      <c r="AB819" s="109"/>
      <c r="AC819" s="109"/>
      <c r="AD819" s="109"/>
      <c r="AE819" s="109"/>
      <c r="AF819" s="109"/>
    </row>
    <row r="820" spans="1:32" ht="15">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c r="AA820" s="109"/>
      <c r="AB820" s="109"/>
      <c r="AC820" s="109"/>
      <c r="AD820" s="109"/>
      <c r="AE820" s="109"/>
      <c r="AF820" s="109"/>
    </row>
    <row r="821" spans="1:32" ht="15">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c r="AA821" s="109"/>
      <c r="AB821" s="109"/>
      <c r="AC821" s="109"/>
      <c r="AD821" s="109"/>
      <c r="AE821" s="109"/>
      <c r="AF821" s="109"/>
    </row>
    <row r="822" spans="1:32" ht="15">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c r="AA822" s="109"/>
      <c r="AB822" s="109"/>
      <c r="AC822" s="109"/>
      <c r="AD822" s="109"/>
      <c r="AE822" s="109"/>
      <c r="AF822" s="109"/>
    </row>
    <row r="823" spans="1:32" ht="15">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c r="AA823" s="109"/>
      <c r="AB823" s="109"/>
      <c r="AC823" s="109"/>
      <c r="AD823" s="109"/>
      <c r="AE823" s="109"/>
      <c r="AF823" s="109"/>
    </row>
    <row r="824" spans="1:32" ht="15">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c r="AA824" s="109"/>
      <c r="AB824" s="109"/>
      <c r="AC824" s="109"/>
      <c r="AD824" s="109"/>
      <c r="AE824" s="109"/>
      <c r="AF824" s="109"/>
    </row>
    <row r="825" spans="1:32" ht="1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c r="AA825" s="109"/>
      <c r="AB825" s="109"/>
      <c r="AC825" s="109"/>
      <c r="AD825" s="109"/>
      <c r="AE825" s="109"/>
      <c r="AF825" s="109"/>
    </row>
    <row r="826" spans="1:32" ht="15">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c r="AA826" s="109"/>
      <c r="AB826" s="109"/>
      <c r="AC826" s="109"/>
      <c r="AD826" s="109"/>
      <c r="AE826" s="109"/>
      <c r="AF826" s="109"/>
    </row>
    <row r="827" spans="1:32" ht="15">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c r="AA827" s="109"/>
      <c r="AB827" s="109"/>
      <c r="AC827" s="109"/>
      <c r="AD827" s="109"/>
      <c r="AE827" s="109"/>
      <c r="AF827" s="109"/>
    </row>
    <row r="828" spans="1:32" ht="15">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c r="AA828" s="109"/>
      <c r="AB828" s="109"/>
      <c r="AC828" s="109"/>
      <c r="AD828" s="109"/>
      <c r="AE828" s="109"/>
      <c r="AF828" s="109"/>
    </row>
    <row r="829" spans="1:32" ht="15">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c r="AA829" s="109"/>
      <c r="AB829" s="109"/>
      <c r="AC829" s="109"/>
      <c r="AD829" s="109"/>
      <c r="AE829" s="109"/>
      <c r="AF829" s="109"/>
    </row>
    <row r="830" spans="1:32" ht="15">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c r="AA830" s="109"/>
      <c r="AB830" s="109"/>
      <c r="AC830" s="109"/>
      <c r="AD830" s="109"/>
      <c r="AE830" s="109"/>
      <c r="AF830" s="109"/>
    </row>
    <row r="831" spans="1:32" ht="15">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c r="AA831" s="109"/>
      <c r="AB831" s="109"/>
      <c r="AC831" s="109"/>
      <c r="AD831" s="109"/>
      <c r="AE831" s="109"/>
      <c r="AF831" s="109"/>
    </row>
    <row r="832" spans="1:32" ht="15">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c r="AA832" s="109"/>
      <c r="AB832" s="109"/>
      <c r="AC832" s="109"/>
      <c r="AD832" s="109"/>
      <c r="AE832" s="109"/>
      <c r="AF832" s="109"/>
    </row>
    <row r="833" spans="1:32" ht="15">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c r="AA833" s="109"/>
      <c r="AB833" s="109"/>
      <c r="AC833" s="109"/>
      <c r="AD833" s="109"/>
      <c r="AE833" s="109"/>
      <c r="AF833" s="109"/>
    </row>
    <row r="834" spans="1:32" ht="15">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c r="AA834" s="109"/>
      <c r="AB834" s="109"/>
      <c r="AC834" s="109"/>
      <c r="AD834" s="109"/>
      <c r="AE834" s="109"/>
      <c r="AF834" s="109"/>
    </row>
    <row r="835" spans="1:32" ht="1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c r="AA835" s="109"/>
      <c r="AB835" s="109"/>
      <c r="AC835" s="109"/>
      <c r="AD835" s="109"/>
      <c r="AE835" s="109"/>
      <c r="AF835" s="109"/>
    </row>
    <row r="836" spans="1:32" ht="15">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c r="AA836" s="109"/>
      <c r="AB836" s="109"/>
      <c r="AC836" s="109"/>
      <c r="AD836" s="109"/>
      <c r="AE836" s="109"/>
      <c r="AF836" s="109"/>
    </row>
    <row r="837" spans="1:32" ht="15">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c r="AA837" s="109"/>
      <c r="AB837" s="109"/>
      <c r="AC837" s="109"/>
      <c r="AD837" s="109"/>
      <c r="AE837" s="109"/>
      <c r="AF837" s="109"/>
    </row>
    <row r="838" spans="1:32" ht="15">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c r="AA838" s="109"/>
      <c r="AB838" s="109"/>
      <c r="AC838" s="109"/>
      <c r="AD838" s="109"/>
      <c r="AE838" s="109"/>
      <c r="AF838" s="109"/>
    </row>
    <row r="839" spans="1:32" ht="15">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c r="AA839" s="109"/>
      <c r="AB839" s="109"/>
      <c r="AC839" s="109"/>
      <c r="AD839" s="109"/>
      <c r="AE839" s="109"/>
      <c r="AF839" s="109"/>
    </row>
    <row r="840" spans="1:32" ht="15">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c r="AA840" s="109"/>
      <c r="AB840" s="109"/>
      <c r="AC840" s="109"/>
      <c r="AD840" s="109"/>
      <c r="AE840" s="109"/>
      <c r="AF840" s="109"/>
    </row>
    <row r="841" spans="1:32" ht="15">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c r="AA841" s="109"/>
      <c r="AB841" s="109"/>
      <c r="AC841" s="109"/>
      <c r="AD841" s="109"/>
      <c r="AE841" s="109"/>
      <c r="AF841" s="109"/>
    </row>
    <row r="842" spans="1:32" ht="15">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c r="AA842" s="109"/>
      <c r="AB842" s="109"/>
      <c r="AC842" s="109"/>
      <c r="AD842" s="109"/>
      <c r="AE842" s="109"/>
      <c r="AF842" s="109"/>
    </row>
    <row r="843" spans="1:32" ht="15">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c r="AA843" s="109"/>
      <c r="AB843" s="109"/>
      <c r="AC843" s="109"/>
      <c r="AD843" s="109"/>
      <c r="AE843" s="109"/>
      <c r="AF843" s="109"/>
    </row>
    <row r="844" spans="1:32" ht="15">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c r="AA844" s="109"/>
      <c r="AB844" s="109"/>
      <c r="AC844" s="109"/>
      <c r="AD844" s="109"/>
      <c r="AE844" s="109"/>
      <c r="AF844" s="109"/>
    </row>
    <row r="845" spans="1:32" ht="1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c r="AA845" s="109"/>
      <c r="AB845" s="109"/>
      <c r="AC845" s="109"/>
      <c r="AD845" s="109"/>
      <c r="AE845" s="109"/>
      <c r="AF845" s="109"/>
    </row>
    <row r="846" spans="1:32" ht="15">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c r="AA846" s="109"/>
      <c r="AB846" s="109"/>
      <c r="AC846" s="109"/>
      <c r="AD846" s="109"/>
      <c r="AE846" s="109"/>
      <c r="AF846" s="109"/>
    </row>
    <row r="847" spans="1:32" ht="15">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c r="AA847" s="109"/>
      <c r="AB847" s="109"/>
      <c r="AC847" s="109"/>
      <c r="AD847" s="109"/>
      <c r="AE847" s="109"/>
      <c r="AF847" s="109"/>
    </row>
    <row r="848" spans="1:32" ht="15">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c r="AA848" s="109"/>
      <c r="AB848" s="109"/>
      <c r="AC848" s="109"/>
      <c r="AD848" s="109"/>
      <c r="AE848" s="109"/>
      <c r="AF848" s="109"/>
    </row>
    <row r="849" spans="1:32" ht="15">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c r="AA849" s="109"/>
      <c r="AB849" s="109"/>
      <c r="AC849" s="109"/>
      <c r="AD849" s="109"/>
      <c r="AE849" s="109"/>
      <c r="AF849" s="109"/>
    </row>
    <row r="850" spans="1:32" ht="15">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c r="AA850" s="109"/>
      <c r="AB850" s="109"/>
      <c r="AC850" s="109"/>
      <c r="AD850" s="109"/>
      <c r="AE850" s="109"/>
      <c r="AF850" s="109"/>
    </row>
    <row r="851" spans="1:32" ht="15">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c r="AA851" s="109"/>
      <c r="AB851" s="109"/>
      <c r="AC851" s="109"/>
      <c r="AD851" s="109"/>
      <c r="AE851" s="109"/>
      <c r="AF851" s="109"/>
    </row>
    <row r="852" spans="1:32" ht="15">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c r="AA852" s="109"/>
      <c r="AB852" s="109"/>
      <c r="AC852" s="109"/>
      <c r="AD852" s="109"/>
      <c r="AE852" s="109"/>
      <c r="AF852" s="109"/>
    </row>
    <row r="853" spans="1:32" ht="15">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c r="AA853" s="109"/>
      <c r="AB853" s="109"/>
      <c r="AC853" s="109"/>
      <c r="AD853" s="109"/>
      <c r="AE853" s="109"/>
      <c r="AF853" s="109"/>
    </row>
    <row r="854" spans="1:32" ht="15">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c r="AA854" s="109"/>
      <c r="AB854" s="109"/>
      <c r="AC854" s="109"/>
      <c r="AD854" s="109"/>
      <c r="AE854" s="109"/>
      <c r="AF854" s="109"/>
    </row>
    <row r="855" spans="1:32" ht="1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c r="AA855" s="109"/>
      <c r="AB855" s="109"/>
      <c r="AC855" s="109"/>
      <c r="AD855" s="109"/>
      <c r="AE855" s="109"/>
      <c r="AF855" s="109"/>
    </row>
    <row r="856" spans="1:32" ht="15">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c r="AA856" s="109"/>
      <c r="AB856" s="109"/>
      <c r="AC856" s="109"/>
      <c r="AD856" s="109"/>
      <c r="AE856" s="109"/>
      <c r="AF856" s="109"/>
    </row>
    <row r="857" spans="1:32" ht="15">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c r="AA857" s="109"/>
      <c r="AB857" s="109"/>
      <c r="AC857" s="109"/>
      <c r="AD857" s="109"/>
      <c r="AE857" s="109"/>
      <c r="AF857" s="109"/>
    </row>
    <row r="858" spans="1:32" ht="15">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c r="AA858" s="109"/>
      <c r="AB858" s="109"/>
      <c r="AC858" s="109"/>
      <c r="AD858" s="109"/>
      <c r="AE858" s="109"/>
      <c r="AF858" s="109"/>
    </row>
    <row r="859" spans="1:32" ht="15">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c r="AA859" s="109"/>
      <c r="AB859" s="109"/>
      <c r="AC859" s="109"/>
      <c r="AD859" s="109"/>
      <c r="AE859" s="109"/>
      <c r="AF859" s="109"/>
    </row>
    <row r="860" spans="1:32" ht="15">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c r="AA860" s="109"/>
      <c r="AB860" s="109"/>
      <c r="AC860" s="109"/>
      <c r="AD860" s="109"/>
      <c r="AE860" s="109"/>
      <c r="AF860" s="109"/>
    </row>
    <row r="861" spans="1:32" ht="15">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c r="AA861" s="109"/>
      <c r="AB861" s="109"/>
      <c r="AC861" s="109"/>
      <c r="AD861" s="109"/>
      <c r="AE861" s="109"/>
      <c r="AF861" s="109"/>
    </row>
    <row r="862" spans="1:32" ht="15">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c r="AA862" s="109"/>
      <c r="AB862" s="109"/>
      <c r="AC862" s="109"/>
      <c r="AD862" s="109"/>
      <c r="AE862" s="109"/>
      <c r="AF862" s="109"/>
    </row>
    <row r="863" spans="1:32" ht="15">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c r="AA863" s="109"/>
      <c r="AB863" s="109"/>
      <c r="AC863" s="109"/>
      <c r="AD863" s="109"/>
      <c r="AE863" s="109"/>
      <c r="AF863" s="109"/>
    </row>
    <row r="864" spans="1:32" ht="15">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c r="AA864" s="109"/>
      <c r="AB864" s="109"/>
      <c r="AC864" s="109"/>
      <c r="AD864" s="109"/>
      <c r="AE864" s="109"/>
      <c r="AF864" s="109"/>
    </row>
    <row r="865" spans="1:32" ht="1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c r="AA865" s="109"/>
      <c r="AB865" s="109"/>
      <c r="AC865" s="109"/>
      <c r="AD865" s="109"/>
      <c r="AE865" s="109"/>
      <c r="AF865" s="109"/>
    </row>
    <row r="866" spans="1:32" ht="15">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c r="AA866" s="109"/>
      <c r="AB866" s="109"/>
      <c r="AC866" s="109"/>
      <c r="AD866" s="109"/>
      <c r="AE866" s="109"/>
      <c r="AF866" s="109"/>
    </row>
    <row r="867" spans="1:32" ht="15">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c r="AA867" s="109"/>
      <c r="AB867" s="109"/>
      <c r="AC867" s="109"/>
      <c r="AD867" s="109"/>
      <c r="AE867" s="109"/>
      <c r="AF867" s="109"/>
    </row>
    <row r="868" spans="1:32" ht="15">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c r="AA868" s="109"/>
      <c r="AB868" s="109"/>
      <c r="AC868" s="109"/>
      <c r="AD868" s="109"/>
      <c r="AE868" s="109"/>
      <c r="AF868" s="109"/>
    </row>
    <row r="869" spans="1:32" ht="15">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c r="AA869" s="109"/>
      <c r="AB869" s="109"/>
      <c r="AC869" s="109"/>
      <c r="AD869" s="109"/>
      <c r="AE869" s="109"/>
      <c r="AF869" s="109"/>
    </row>
    <row r="870" spans="1:32" ht="15">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c r="AA870" s="109"/>
      <c r="AB870" s="109"/>
      <c r="AC870" s="109"/>
      <c r="AD870" s="109"/>
      <c r="AE870" s="109"/>
      <c r="AF870" s="109"/>
    </row>
    <row r="871" spans="1:32" ht="15">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c r="AA871" s="109"/>
      <c r="AB871" s="109"/>
      <c r="AC871" s="109"/>
      <c r="AD871" s="109"/>
      <c r="AE871" s="109"/>
      <c r="AF871" s="109"/>
    </row>
    <row r="872" spans="1:32" ht="15">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c r="AA872" s="109"/>
      <c r="AB872" s="109"/>
      <c r="AC872" s="109"/>
      <c r="AD872" s="109"/>
      <c r="AE872" s="109"/>
      <c r="AF872" s="109"/>
    </row>
    <row r="873" spans="1:32" ht="15">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c r="AA873" s="109"/>
      <c r="AB873" s="109"/>
      <c r="AC873" s="109"/>
      <c r="AD873" s="109"/>
      <c r="AE873" s="109"/>
      <c r="AF873" s="109"/>
    </row>
    <row r="874" spans="1:32" ht="15">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c r="AA874" s="109"/>
      <c r="AB874" s="109"/>
      <c r="AC874" s="109"/>
      <c r="AD874" s="109"/>
      <c r="AE874" s="109"/>
      <c r="AF874" s="109"/>
    </row>
    <row r="875" spans="1:32" ht="1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c r="AA875" s="109"/>
      <c r="AB875" s="109"/>
      <c r="AC875" s="109"/>
      <c r="AD875" s="109"/>
      <c r="AE875" s="109"/>
      <c r="AF875" s="109"/>
    </row>
    <row r="876" spans="1:32" ht="15">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c r="AA876" s="109"/>
      <c r="AB876" s="109"/>
      <c r="AC876" s="109"/>
      <c r="AD876" s="109"/>
      <c r="AE876" s="109"/>
      <c r="AF876" s="109"/>
    </row>
    <row r="877" spans="1:32" ht="15">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c r="AA877" s="109"/>
      <c r="AB877" s="109"/>
      <c r="AC877" s="109"/>
      <c r="AD877" s="109"/>
      <c r="AE877" s="109"/>
      <c r="AF877" s="109"/>
    </row>
    <row r="878" spans="1:32" ht="15">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c r="AA878" s="109"/>
      <c r="AB878" s="109"/>
      <c r="AC878" s="109"/>
      <c r="AD878" s="109"/>
      <c r="AE878" s="109"/>
      <c r="AF878" s="109"/>
    </row>
    <row r="879" spans="1:32" ht="15">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c r="AA879" s="109"/>
      <c r="AB879" s="109"/>
      <c r="AC879" s="109"/>
      <c r="AD879" s="109"/>
      <c r="AE879" s="109"/>
      <c r="AF879" s="109"/>
    </row>
    <row r="880" spans="1:32" ht="15">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c r="AA880" s="109"/>
      <c r="AB880" s="109"/>
      <c r="AC880" s="109"/>
      <c r="AD880" s="109"/>
      <c r="AE880" s="109"/>
      <c r="AF880" s="109"/>
    </row>
    <row r="881" spans="1:32" ht="15">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c r="AA881" s="109"/>
      <c r="AB881" s="109"/>
      <c r="AC881" s="109"/>
      <c r="AD881" s="109"/>
      <c r="AE881" s="109"/>
      <c r="AF881" s="109"/>
    </row>
    <row r="882" spans="1:32" ht="15">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c r="AA882" s="109"/>
      <c r="AB882" s="109"/>
      <c r="AC882" s="109"/>
      <c r="AD882" s="109"/>
      <c r="AE882" s="109"/>
      <c r="AF882" s="109"/>
    </row>
    <row r="883" spans="1:32" ht="15">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c r="AA883" s="109"/>
      <c r="AB883" s="109"/>
      <c r="AC883" s="109"/>
      <c r="AD883" s="109"/>
      <c r="AE883" s="109"/>
      <c r="AF883" s="109"/>
    </row>
    <row r="884" spans="1:32" ht="15">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c r="AA884" s="109"/>
      <c r="AB884" s="109"/>
      <c r="AC884" s="109"/>
      <c r="AD884" s="109"/>
      <c r="AE884" s="109"/>
      <c r="AF884" s="109"/>
    </row>
    <row r="885" spans="1:32" ht="1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c r="AA885" s="109"/>
      <c r="AB885" s="109"/>
      <c r="AC885" s="109"/>
      <c r="AD885" s="109"/>
      <c r="AE885" s="109"/>
      <c r="AF885" s="109"/>
    </row>
    <row r="886" spans="1:32" ht="15">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c r="AA886" s="109"/>
      <c r="AB886" s="109"/>
      <c r="AC886" s="109"/>
      <c r="AD886" s="109"/>
      <c r="AE886" s="109"/>
      <c r="AF886" s="109"/>
    </row>
    <row r="887" spans="1:32" ht="15">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c r="AA887" s="109"/>
      <c r="AB887" s="109"/>
      <c r="AC887" s="109"/>
      <c r="AD887" s="109"/>
      <c r="AE887" s="109"/>
      <c r="AF887" s="109"/>
    </row>
    <row r="888" spans="1:32" ht="15">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c r="AA888" s="109"/>
      <c r="AB888" s="109"/>
      <c r="AC888" s="109"/>
      <c r="AD888" s="109"/>
      <c r="AE888" s="109"/>
      <c r="AF888" s="109"/>
    </row>
    <row r="889" spans="1:32" ht="15">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c r="AA889" s="109"/>
      <c r="AB889" s="109"/>
      <c r="AC889" s="109"/>
      <c r="AD889" s="109"/>
      <c r="AE889" s="109"/>
      <c r="AF889" s="109"/>
    </row>
    <row r="890" spans="1:32" ht="15">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c r="AA890" s="109"/>
      <c r="AB890" s="109"/>
      <c r="AC890" s="109"/>
      <c r="AD890" s="109"/>
      <c r="AE890" s="109"/>
      <c r="AF890" s="109"/>
    </row>
    <row r="891" spans="1:32" ht="15">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c r="AA891" s="109"/>
      <c r="AB891" s="109"/>
      <c r="AC891" s="109"/>
      <c r="AD891" s="109"/>
      <c r="AE891" s="109"/>
      <c r="AF891" s="109"/>
    </row>
    <row r="892" spans="1:32" ht="15">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c r="AA892" s="109"/>
      <c r="AB892" s="109"/>
      <c r="AC892" s="109"/>
      <c r="AD892" s="109"/>
      <c r="AE892" s="109"/>
      <c r="AF892" s="109"/>
    </row>
    <row r="893" spans="1:32" ht="15">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c r="AA893" s="109"/>
      <c r="AB893" s="109"/>
      <c r="AC893" s="109"/>
      <c r="AD893" s="109"/>
      <c r="AE893" s="109"/>
      <c r="AF893" s="109"/>
    </row>
    <row r="894" spans="1:32" ht="15">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c r="AA894" s="109"/>
      <c r="AB894" s="109"/>
      <c r="AC894" s="109"/>
      <c r="AD894" s="109"/>
      <c r="AE894" s="109"/>
      <c r="AF894" s="109"/>
    </row>
    <row r="895" spans="1:32" ht="1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c r="AA895" s="109"/>
      <c r="AB895" s="109"/>
      <c r="AC895" s="109"/>
      <c r="AD895" s="109"/>
      <c r="AE895" s="109"/>
      <c r="AF895" s="109"/>
    </row>
    <row r="896" spans="1:32" ht="15">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c r="AA896" s="109"/>
      <c r="AB896" s="109"/>
      <c r="AC896" s="109"/>
      <c r="AD896" s="109"/>
      <c r="AE896" s="109"/>
      <c r="AF896" s="109"/>
    </row>
    <row r="897" spans="1:32" ht="15">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c r="AA897" s="109"/>
      <c r="AB897" s="109"/>
      <c r="AC897" s="109"/>
      <c r="AD897" s="109"/>
      <c r="AE897" s="109"/>
      <c r="AF897" s="109"/>
    </row>
    <row r="898" spans="1:32" ht="15">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c r="AA898" s="109"/>
      <c r="AB898" s="109"/>
      <c r="AC898" s="109"/>
      <c r="AD898" s="109"/>
      <c r="AE898" s="109"/>
      <c r="AF898" s="109"/>
    </row>
    <row r="899" spans="1:32" ht="15">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c r="AA899" s="109"/>
      <c r="AB899" s="109"/>
      <c r="AC899" s="109"/>
      <c r="AD899" s="109"/>
      <c r="AE899" s="109"/>
      <c r="AF899" s="109"/>
    </row>
    <row r="900" spans="1:32" ht="15">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c r="AA900" s="109"/>
      <c r="AB900" s="109"/>
      <c r="AC900" s="109"/>
      <c r="AD900" s="109"/>
      <c r="AE900" s="109"/>
      <c r="AF900" s="109"/>
    </row>
    <row r="901" spans="1:32" ht="15">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c r="AA901" s="109"/>
      <c r="AB901" s="109"/>
      <c r="AC901" s="109"/>
      <c r="AD901" s="109"/>
      <c r="AE901" s="109"/>
      <c r="AF901" s="109"/>
    </row>
    <row r="902" spans="1:32" ht="15">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c r="AA902" s="109"/>
      <c r="AB902" s="109"/>
      <c r="AC902" s="109"/>
      <c r="AD902" s="109"/>
      <c r="AE902" s="109"/>
      <c r="AF902" s="109"/>
    </row>
    <row r="903" spans="1:32" ht="15">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c r="AA903" s="109"/>
      <c r="AB903" s="109"/>
      <c r="AC903" s="109"/>
      <c r="AD903" s="109"/>
      <c r="AE903" s="109"/>
      <c r="AF903" s="109"/>
    </row>
    <row r="904" spans="1:32" ht="15">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c r="AA904" s="109"/>
      <c r="AB904" s="109"/>
      <c r="AC904" s="109"/>
      <c r="AD904" s="109"/>
      <c r="AE904" s="109"/>
      <c r="AF904" s="109"/>
    </row>
    <row r="905" spans="1:32" ht="1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c r="AA905" s="109"/>
      <c r="AB905" s="109"/>
      <c r="AC905" s="109"/>
      <c r="AD905" s="109"/>
      <c r="AE905" s="109"/>
      <c r="AF905" s="109"/>
    </row>
    <row r="906" spans="1:32" ht="15">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c r="AA906" s="109"/>
      <c r="AB906" s="109"/>
      <c r="AC906" s="109"/>
      <c r="AD906" s="109"/>
      <c r="AE906" s="109"/>
      <c r="AF906" s="109"/>
    </row>
    <row r="907" spans="1:32" ht="15">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c r="AA907" s="109"/>
      <c r="AB907" s="109"/>
      <c r="AC907" s="109"/>
      <c r="AD907" s="109"/>
      <c r="AE907" s="109"/>
      <c r="AF907" s="109"/>
    </row>
    <row r="908" spans="1:32" ht="15">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c r="AA908" s="109"/>
      <c r="AB908" s="109"/>
      <c r="AC908" s="109"/>
      <c r="AD908" s="109"/>
      <c r="AE908" s="109"/>
      <c r="AF908" s="109"/>
    </row>
    <row r="909" spans="1:32" ht="15">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c r="AA909" s="109"/>
      <c r="AB909" s="109"/>
      <c r="AC909" s="109"/>
      <c r="AD909" s="109"/>
      <c r="AE909" s="109"/>
      <c r="AF909" s="109"/>
    </row>
    <row r="910" spans="1:32" ht="15">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c r="AA910" s="109"/>
      <c r="AB910" s="109"/>
      <c r="AC910" s="109"/>
      <c r="AD910" s="109"/>
      <c r="AE910" s="109"/>
      <c r="AF910" s="109"/>
    </row>
    <row r="911" spans="1:32" ht="15">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c r="AA911" s="109"/>
      <c r="AB911" s="109"/>
      <c r="AC911" s="109"/>
      <c r="AD911" s="109"/>
      <c r="AE911" s="109"/>
      <c r="AF911" s="109"/>
    </row>
    <row r="912" spans="1:32" ht="15">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c r="AA912" s="109"/>
      <c r="AB912" s="109"/>
      <c r="AC912" s="109"/>
      <c r="AD912" s="109"/>
      <c r="AE912" s="109"/>
      <c r="AF912" s="109"/>
    </row>
    <row r="913" spans="1:32" ht="15">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c r="AA913" s="109"/>
      <c r="AB913" s="109"/>
      <c r="AC913" s="109"/>
      <c r="AD913" s="109"/>
      <c r="AE913" s="109"/>
      <c r="AF913" s="109"/>
    </row>
    <row r="914" spans="1:32" ht="15">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c r="AA914" s="109"/>
      <c r="AB914" s="109"/>
      <c r="AC914" s="109"/>
      <c r="AD914" s="109"/>
      <c r="AE914" s="109"/>
      <c r="AF914" s="109"/>
    </row>
    <row r="915" spans="1:32" ht="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c r="AA915" s="109"/>
      <c r="AB915" s="109"/>
      <c r="AC915" s="109"/>
      <c r="AD915" s="109"/>
      <c r="AE915" s="109"/>
      <c r="AF915" s="109"/>
    </row>
    <row r="916" spans="1:32" ht="15">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c r="AA916" s="109"/>
      <c r="AB916" s="109"/>
      <c r="AC916" s="109"/>
      <c r="AD916" s="109"/>
      <c r="AE916" s="109"/>
      <c r="AF916" s="109"/>
    </row>
    <row r="917" spans="1:32" ht="15">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c r="AA917" s="109"/>
      <c r="AB917" s="109"/>
      <c r="AC917" s="109"/>
      <c r="AD917" s="109"/>
      <c r="AE917" s="109"/>
      <c r="AF917" s="109"/>
    </row>
    <row r="918" spans="1:32" ht="15">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c r="AA918" s="109"/>
      <c r="AB918" s="109"/>
      <c r="AC918" s="109"/>
      <c r="AD918" s="109"/>
      <c r="AE918" s="109"/>
      <c r="AF918" s="109"/>
    </row>
    <row r="919" spans="1:32" ht="15">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c r="AA919" s="109"/>
      <c r="AB919" s="109"/>
      <c r="AC919" s="109"/>
      <c r="AD919" s="109"/>
      <c r="AE919" s="109"/>
      <c r="AF919" s="109"/>
    </row>
    <row r="920" spans="1:32" ht="15">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c r="AA920" s="109"/>
      <c r="AB920" s="109"/>
      <c r="AC920" s="109"/>
      <c r="AD920" s="109"/>
      <c r="AE920" s="109"/>
      <c r="AF920" s="109"/>
    </row>
    <row r="921" spans="1:32" ht="15">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c r="AA921" s="109"/>
      <c r="AB921" s="109"/>
      <c r="AC921" s="109"/>
      <c r="AD921" s="109"/>
      <c r="AE921" s="109"/>
      <c r="AF921" s="109"/>
    </row>
    <row r="922" spans="1:32" ht="15">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c r="AA922" s="109"/>
      <c r="AB922" s="109"/>
      <c r="AC922" s="109"/>
      <c r="AD922" s="109"/>
      <c r="AE922" s="109"/>
      <c r="AF922" s="109"/>
    </row>
    <row r="923" spans="1:32" ht="15">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c r="AA923" s="109"/>
      <c r="AB923" s="109"/>
      <c r="AC923" s="109"/>
      <c r="AD923" s="109"/>
      <c r="AE923" s="109"/>
      <c r="AF923" s="109"/>
    </row>
    <row r="924" spans="1:32" ht="15">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c r="AA924" s="109"/>
      <c r="AB924" s="109"/>
      <c r="AC924" s="109"/>
      <c r="AD924" s="109"/>
      <c r="AE924" s="109"/>
      <c r="AF924" s="109"/>
    </row>
    <row r="925" spans="1:32" ht="1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c r="AA925" s="109"/>
      <c r="AB925" s="109"/>
      <c r="AC925" s="109"/>
      <c r="AD925" s="109"/>
      <c r="AE925" s="109"/>
      <c r="AF925" s="109"/>
    </row>
    <row r="926" spans="1:32" ht="15">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c r="AA926" s="109"/>
      <c r="AB926" s="109"/>
      <c r="AC926" s="109"/>
      <c r="AD926" s="109"/>
      <c r="AE926" s="109"/>
      <c r="AF926" s="109"/>
    </row>
    <row r="927" spans="1:32" ht="15">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c r="AA927" s="109"/>
      <c r="AB927" s="109"/>
      <c r="AC927" s="109"/>
      <c r="AD927" s="109"/>
      <c r="AE927" s="109"/>
      <c r="AF927" s="109"/>
    </row>
    <row r="928" spans="1:32" ht="15">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c r="AA928" s="109"/>
      <c r="AB928" s="109"/>
      <c r="AC928" s="109"/>
      <c r="AD928" s="109"/>
      <c r="AE928" s="109"/>
      <c r="AF928" s="109"/>
    </row>
    <row r="929" spans="1:32" ht="15">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c r="AA929" s="109"/>
      <c r="AB929" s="109"/>
      <c r="AC929" s="109"/>
      <c r="AD929" s="109"/>
      <c r="AE929" s="109"/>
      <c r="AF929" s="109"/>
    </row>
    <row r="930" spans="1:32" ht="15">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c r="AA930" s="109"/>
      <c r="AB930" s="109"/>
      <c r="AC930" s="109"/>
      <c r="AD930" s="109"/>
      <c r="AE930" s="109"/>
      <c r="AF930" s="109"/>
    </row>
    <row r="931" spans="1:32" ht="15">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c r="AA931" s="109"/>
      <c r="AB931" s="109"/>
      <c r="AC931" s="109"/>
      <c r="AD931" s="109"/>
      <c r="AE931" s="109"/>
      <c r="AF931" s="109"/>
    </row>
    <row r="932" spans="1:32" ht="15">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c r="AA932" s="109"/>
      <c r="AB932" s="109"/>
      <c r="AC932" s="109"/>
      <c r="AD932" s="109"/>
      <c r="AE932" s="109"/>
      <c r="AF932" s="109"/>
    </row>
    <row r="933" spans="1:32" ht="15">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c r="AA933" s="109"/>
      <c r="AB933" s="109"/>
      <c r="AC933" s="109"/>
      <c r="AD933" s="109"/>
      <c r="AE933" s="109"/>
      <c r="AF933" s="109"/>
    </row>
    <row r="934" spans="1:32" ht="15">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c r="AA934" s="109"/>
      <c r="AB934" s="109"/>
      <c r="AC934" s="109"/>
      <c r="AD934" s="109"/>
      <c r="AE934" s="109"/>
      <c r="AF934" s="109"/>
    </row>
    <row r="935" spans="1:32" ht="1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c r="AA935" s="109"/>
      <c r="AB935" s="109"/>
      <c r="AC935" s="109"/>
      <c r="AD935" s="109"/>
      <c r="AE935" s="109"/>
      <c r="AF935" s="109"/>
    </row>
    <row r="936" spans="1:32" ht="15">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c r="AA936" s="109"/>
      <c r="AB936" s="109"/>
      <c r="AC936" s="109"/>
      <c r="AD936" s="109"/>
      <c r="AE936" s="109"/>
      <c r="AF936" s="109"/>
    </row>
    <row r="937" spans="1:32" ht="15">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c r="AA937" s="109"/>
      <c r="AB937" s="109"/>
      <c r="AC937" s="109"/>
      <c r="AD937" s="109"/>
      <c r="AE937" s="109"/>
      <c r="AF937" s="109"/>
    </row>
    <row r="938" spans="1:32" ht="15">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c r="AA938" s="109"/>
      <c r="AB938" s="109"/>
      <c r="AC938" s="109"/>
      <c r="AD938" s="109"/>
      <c r="AE938" s="109"/>
      <c r="AF938" s="109"/>
    </row>
    <row r="939" spans="1:32" ht="15">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c r="AA939" s="109"/>
      <c r="AB939" s="109"/>
      <c r="AC939" s="109"/>
      <c r="AD939" s="109"/>
      <c r="AE939" s="109"/>
      <c r="AF939" s="109"/>
    </row>
    <row r="940" spans="1:32" ht="15">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c r="AA940" s="109"/>
      <c r="AB940" s="109"/>
      <c r="AC940" s="109"/>
      <c r="AD940" s="109"/>
      <c r="AE940" s="109"/>
      <c r="AF940" s="109"/>
    </row>
    <row r="941" spans="1:32" ht="15">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c r="AA941" s="109"/>
      <c r="AB941" s="109"/>
      <c r="AC941" s="109"/>
      <c r="AD941" s="109"/>
      <c r="AE941" s="109"/>
      <c r="AF941" s="109"/>
    </row>
    <row r="942" spans="1:32" ht="15">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c r="AA942" s="109"/>
      <c r="AB942" s="109"/>
      <c r="AC942" s="109"/>
      <c r="AD942" s="109"/>
      <c r="AE942" s="109"/>
      <c r="AF942" s="109"/>
    </row>
    <row r="943" spans="1:32" ht="15">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c r="AA943" s="109"/>
      <c r="AB943" s="109"/>
      <c r="AC943" s="109"/>
      <c r="AD943" s="109"/>
      <c r="AE943" s="109"/>
      <c r="AF943" s="109"/>
    </row>
    <row r="944" spans="1:32" ht="15">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c r="AA944" s="109"/>
      <c r="AB944" s="109"/>
      <c r="AC944" s="109"/>
      <c r="AD944" s="109"/>
      <c r="AE944" s="109"/>
      <c r="AF944" s="109"/>
    </row>
    <row r="945" spans="1:32" ht="1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c r="AA945" s="109"/>
      <c r="AB945" s="109"/>
      <c r="AC945" s="109"/>
      <c r="AD945" s="109"/>
      <c r="AE945" s="109"/>
      <c r="AF945" s="109"/>
    </row>
    <row r="946" spans="1:32" ht="15">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c r="AA946" s="109"/>
      <c r="AB946" s="109"/>
      <c r="AC946" s="109"/>
      <c r="AD946" s="109"/>
      <c r="AE946" s="109"/>
      <c r="AF946" s="109"/>
    </row>
    <row r="947" spans="1:32" ht="15">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c r="AA947" s="109"/>
      <c r="AB947" s="109"/>
      <c r="AC947" s="109"/>
      <c r="AD947" s="109"/>
      <c r="AE947" s="109"/>
      <c r="AF947" s="109"/>
    </row>
    <row r="948" spans="1:32" ht="15">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c r="AA948" s="109"/>
      <c r="AB948" s="109"/>
      <c r="AC948" s="109"/>
      <c r="AD948" s="109"/>
      <c r="AE948" s="109"/>
      <c r="AF948" s="109"/>
    </row>
    <row r="949" spans="1:32" ht="15">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c r="AA949" s="109"/>
      <c r="AB949" s="109"/>
      <c r="AC949" s="109"/>
      <c r="AD949" s="109"/>
      <c r="AE949" s="109"/>
      <c r="AF949" s="109"/>
    </row>
    <row r="950" spans="1:32" ht="15">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c r="AA950" s="109"/>
      <c r="AB950" s="109"/>
      <c r="AC950" s="109"/>
      <c r="AD950" s="109"/>
      <c r="AE950" s="109"/>
      <c r="AF950" s="109"/>
    </row>
    <row r="951" spans="1:32" ht="15">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c r="AA951" s="109"/>
      <c r="AB951" s="109"/>
      <c r="AC951" s="109"/>
      <c r="AD951" s="109"/>
      <c r="AE951" s="109"/>
      <c r="AF951" s="109"/>
    </row>
    <row r="952" spans="1:32" ht="15">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c r="AA952" s="109"/>
      <c r="AB952" s="109"/>
      <c r="AC952" s="109"/>
      <c r="AD952" s="109"/>
      <c r="AE952" s="109"/>
      <c r="AF952" s="109"/>
    </row>
    <row r="953" spans="1:32" ht="15">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c r="AA953" s="109"/>
      <c r="AB953" s="109"/>
      <c r="AC953" s="109"/>
      <c r="AD953" s="109"/>
      <c r="AE953" s="109"/>
      <c r="AF953" s="109"/>
    </row>
    <row r="954" spans="1:32" ht="15">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c r="AA954" s="109"/>
      <c r="AB954" s="109"/>
      <c r="AC954" s="109"/>
      <c r="AD954" s="109"/>
      <c r="AE954" s="109"/>
      <c r="AF954" s="109"/>
    </row>
    <row r="955" spans="1:32" ht="1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c r="AA955" s="109"/>
      <c r="AB955" s="109"/>
      <c r="AC955" s="109"/>
      <c r="AD955" s="109"/>
      <c r="AE955" s="109"/>
      <c r="AF955" s="109"/>
    </row>
    <row r="956" spans="1:32" ht="15.75" customHeight="1">
      <c r="B956" s="109"/>
      <c r="C956" s="109"/>
      <c r="D956" s="109"/>
      <c r="E956" s="109"/>
      <c r="F956" s="109"/>
      <c r="G956" s="109"/>
      <c r="H956" s="109"/>
      <c r="I956" s="109"/>
      <c r="J956" s="109"/>
      <c r="K956" s="109"/>
    </row>
    <row r="957" spans="1:32" ht="15.75" customHeight="1">
      <c r="B957" s="109"/>
      <c r="C957" s="109"/>
      <c r="D957" s="109"/>
      <c r="E957" s="109"/>
      <c r="F957" s="109"/>
      <c r="G957" s="109"/>
      <c r="H957" s="109"/>
      <c r="I957" s="109"/>
      <c r="J957" s="109"/>
      <c r="K957" s="109"/>
    </row>
    <row r="958" spans="1:32" ht="15.75" customHeight="1">
      <c r="B958" s="109"/>
      <c r="C958" s="109"/>
      <c r="D958" s="109"/>
      <c r="E958" s="109"/>
      <c r="F958" s="109"/>
      <c r="G958" s="109"/>
      <c r="H958" s="109"/>
      <c r="I958" s="109"/>
      <c r="J958" s="109"/>
      <c r="K958" s="109"/>
    </row>
    <row r="959" spans="1:32" ht="15.75" customHeight="1">
      <c r="B959" s="109"/>
      <c r="C959" s="109"/>
      <c r="D959" s="109"/>
      <c r="E959" s="109"/>
      <c r="F959" s="109"/>
      <c r="G959" s="109"/>
      <c r="H959" s="109"/>
      <c r="I959" s="109"/>
      <c r="J959" s="109"/>
      <c r="K959" s="109"/>
    </row>
    <row r="960" spans="1:32" ht="15.75" customHeight="1">
      <c r="B960" s="109"/>
      <c r="C960" s="109"/>
      <c r="D960" s="109"/>
      <c r="E960" s="109"/>
      <c r="F960" s="109"/>
      <c r="G960" s="109"/>
      <c r="H960" s="109"/>
      <c r="I960" s="109"/>
      <c r="J960" s="109"/>
      <c r="K960" s="109"/>
    </row>
    <row r="961" spans="2:11" ht="15.75" customHeight="1">
      <c r="B961" s="109"/>
      <c r="C961" s="109"/>
      <c r="D961" s="109"/>
      <c r="E961" s="109"/>
      <c r="F961" s="109"/>
      <c r="G961" s="109"/>
      <c r="H961" s="109"/>
      <c r="I961" s="109"/>
      <c r="J961" s="109"/>
      <c r="K961" s="109"/>
    </row>
    <row r="962" spans="2:11" ht="15.75" customHeight="1">
      <c r="B962" s="109"/>
      <c r="C962" s="109"/>
      <c r="D962" s="109"/>
      <c r="E962" s="109"/>
      <c r="F962" s="109"/>
      <c r="G962" s="109"/>
      <c r="H962" s="109"/>
      <c r="I962" s="109"/>
      <c r="J962" s="109"/>
      <c r="K962" s="109"/>
    </row>
  </sheetData>
  <sheetProtection formatCells="0" formatColumns="0" formatRows="0"/>
  <mergeCells count="139">
    <mergeCell ref="B39:K39"/>
    <mergeCell ref="R9:R10"/>
    <mergeCell ref="S9:S10"/>
    <mergeCell ref="T9:T10"/>
    <mergeCell ref="U9:U10"/>
    <mergeCell ref="V9:V10"/>
    <mergeCell ref="W9:W10"/>
    <mergeCell ref="Q14:AC14"/>
    <mergeCell ref="AB9:AB10"/>
    <mergeCell ref="E19:F19"/>
    <mergeCell ref="Q15:AC18"/>
    <mergeCell ref="Q19:AC22"/>
    <mergeCell ref="Q23:AC26"/>
    <mergeCell ref="R30:S30"/>
    <mergeCell ref="F30:H30"/>
    <mergeCell ref="I30:I31"/>
    <mergeCell ref="AC5:AC6"/>
    <mergeCell ref="X7:X8"/>
    <mergeCell ref="Y7:Y8"/>
    <mergeCell ref="Z7:Z8"/>
    <mergeCell ref="AA7:AA8"/>
    <mergeCell ref="AB7:AB8"/>
    <mergeCell ref="AC7:AC8"/>
    <mergeCell ref="X5:X6"/>
    <mergeCell ref="Y5:Y6"/>
    <mergeCell ref="Z5:Z6"/>
    <mergeCell ref="AA5:AA6"/>
    <mergeCell ref="AB5:AB6"/>
    <mergeCell ref="X9:X10"/>
    <mergeCell ref="Y9:Y10"/>
    <mergeCell ref="Z9:Z10"/>
    <mergeCell ref="AA9:AA10"/>
    <mergeCell ref="AC9:AC10"/>
    <mergeCell ref="Q9:Q10"/>
    <mergeCell ref="I58:J58"/>
    <mergeCell ref="I59:J59"/>
    <mergeCell ref="B30:E31"/>
    <mergeCell ref="X45:AC45"/>
    <mergeCell ref="X44:AC44"/>
    <mergeCell ref="R31:S31"/>
    <mergeCell ref="B4:K4"/>
    <mergeCell ref="B5:K5"/>
    <mergeCell ref="R5:R6"/>
    <mergeCell ref="S5:S6"/>
    <mergeCell ref="T5:T6"/>
    <mergeCell ref="U5:U6"/>
    <mergeCell ref="Q5:Q6"/>
    <mergeCell ref="B7:K7"/>
    <mergeCell ref="W7:W8"/>
    <mergeCell ref="Q7:Q8"/>
    <mergeCell ref="R7:R8"/>
    <mergeCell ref="S7:S8"/>
    <mergeCell ref="T7:T8"/>
    <mergeCell ref="U7:U8"/>
    <mergeCell ref="V7:V8"/>
    <mergeCell ref="V5:V6"/>
    <mergeCell ref="W5:W6"/>
    <mergeCell ref="B8:K8"/>
    <mergeCell ref="B9:K9"/>
    <mergeCell ref="C18:E18"/>
    <mergeCell ref="B14:K14"/>
    <mergeCell ref="C17:G17"/>
    <mergeCell ref="B21:C21"/>
    <mergeCell ref="B15:K15"/>
    <mergeCell ref="B12:K12"/>
    <mergeCell ref="B10:K10"/>
    <mergeCell ref="F55:G55"/>
    <mergeCell ref="I55:J55"/>
    <mergeCell ref="B33:E33"/>
    <mergeCell ref="B27:F27"/>
    <mergeCell ref="B28:F28"/>
    <mergeCell ref="H28:K28"/>
    <mergeCell ref="B36:E36"/>
    <mergeCell ref="B37:E37"/>
    <mergeCell ref="B34:E34"/>
    <mergeCell ref="B35:E35"/>
    <mergeCell ref="B29:K29"/>
    <mergeCell ref="B32:K32"/>
    <mergeCell ref="H27:K27"/>
    <mergeCell ref="H49:H50"/>
    <mergeCell ref="I49:I50"/>
    <mergeCell ref="K30:K31"/>
    <mergeCell ref="J30:J31"/>
    <mergeCell ref="C61:E61"/>
    <mergeCell ref="F61:G61"/>
    <mergeCell ref="I61:J61"/>
    <mergeCell ref="B55:E55"/>
    <mergeCell ref="I60:J60"/>
    <mergeCell ref="C59:E59"/>
    <mergeCell ref="F59:G59"/>
    <mergeCell ref="C60:E60"/>
    <mergeCell ref="F60:G60"/>
    <mergeCell ref="C56:E56"/>
    <mergeCell ref="F56:G56"/>
    <mergeCell ref="I56:J56"/>
    <mergeCell ref="C57:E57"/>
    <mergeCell ref="F57:G57"/>
    <mergeCell ref="C58:E58"/>
    <mergeCell ref="F58:G58"/>
    <mergeCell ref="B53:H53"/>
    <mergeCell ref="B40:E40"/>
    <mergeCell ref="B38:E38"/>
    <mergeCell ref="I57:J57"/>
    <mergeCell ref="I51:I52"/>
    <mergeCell ref="I47:I48"/>
    <mergeCell ref="J47:J48"/>
    <mergeCell ref="K47:K48"/>
    <mergeCell ref="J51:J52"/>
    <mergeCell ref="K51:K52"/>
    <mergeCell ref="B49:E50"/>
    <mergeCell ref="B41:E41"/>
    <mergeCell ref="B42:E42"/>
    <mergeCell ref="B43:E43"/>
    <mergeCell ref="B44:E44"/>
    <mergeCell ref="B45:E45"/>
    <mergeCell ref="J49:J50"/>
    <mergeCell ref="K49:K50"/>
    <mergeCell ref="B51:E52"/>
    <mergeCell ref="B46:E46"/>
    <mergeCell ref="F51:F52"/>
    <mergeCell ref="B47:E48"/>
    <mergeCell ref="F47:F48"/>
    <mergeCell ref="G47:G48"/>
    <mergeCell ref="G51:G52"/>
    <mergeCell ref="H47:H48"/>
    <mergeCell ref="H51:H52"/>
    <mergeCell ref="R32:S32"/>
    <mergeCell ref="Q29:AC29"/>
    <mergeCell ref="X50:AC50"/>
    <mergeCell ref="X49:AC49"/>
    <mergeCell ref="X48:AC48"/>
    <mergeCell ref="Q34:AC34"/>
    <mergeCell ref="Q35:AC35"/>
    <mergeCell ref="Q59:V59"/>
    <mergeCell ref="Q60:V60"/>
    <mergeCell ref="Q53:AC53"/>
    <mergeCell ref="Q48:V49"/>
    <mergeCell ref="Q50:V50"/>
    <mergeCell ref="R45:U45"/>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count="1">
        <x14:dataValidation type="list" showErrorMessage="1" xr:uid="{28205835-4B78-47D0-9713-4C94A743E7D4}">
          <x14:formula1>
            <xm:f>'TERM 1 SUMMARY'!$C$15:$C$144</xm:f>
          </x14:formula1>
          <xm:sqref>C17:G17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D356-573A-4B5F-BA0F-6A8145B189F6}">
  <dimension ref="B2:K86"/>
  <sheetViews>
    <sheetView topLeftCell="G1" workbookViewId="0">
      <selection activeCell="J63" sqref="J63"/>
    </sheetView>
  </sheetViews>
  <sheetFormatPr defaultRowHeight="13.2"/>
  <cols>
    <col min="1" max="1" width="4.21875" customWidth="1"/>
    <col min="2" max="2" width="53.44140625" customWidth="1"/>
    <col min="3" max="3" width="11.21875" customWidth="1"/>
    <col min="5" max="5" width="30.5546875" customWidth="1"/>
    <col min="6" max="6" width="54.88671875" customWidth="1"/>
    <col min="7" max="7" width="14.44140625" style="67" customWidth="1"/>
    <col min="8" max="8" width="7.5546875" customWidth="1"/>
    <col min="9" max="9" width="30.5546875" customWidth="1"/>
    <col min="10" max="10" width="54.88671875" customWidth="1"/>
    <col min="11" max="11" width="14.44140625" customWidth="1"/>
  </cols>
  <sheetData>
    <row r="2" spans="2:11" ht="37.799999999999997">
      <c r="B2" s="56" t="s">
        <v>116</v>
      </c>
    </row>
    <row r="3" spans="2:11" ht="28.2">
      <c r="B3" s="57" t="s">
        <v>117</v>
      </c>
      <c r="G3" s="69"/>
      <c r="H3" s="35"/>
    </row>
    <row r="4" spans="2:11" ht="13.8" thickBot="1">
      <c r="G4" s="69"/>
      <c r="H4" s="35"/>
    </row>
    <row r="5" spans="2:11" ht="18" thickBot="1">
      <c r="B5" s="86" t="s">
        <v>118</v>
      </c>
      <c r="C5" s="85"/>
      <c r="E5" s="460" t="s">
        <v>136</v>
      </c>
      <c r="F5" s="460"/>
      <c r="G5" s="460"/>
      <c r="H5" s="35"/>
      <c r="I5" s="456" t="s">
        <v>232</v>
      </c>
      <c r="J5" s="456"/>
      <c r="K5" s="456"/>
    </row>
    <row r="6" spans="2:11" ht="19.95" customHeight="1" thickBot="1">
      <c r="B6" s="65" t="s">
        <v>120</v>
      </c>
      <c r="E6" s="81" t="s">
        <v>223</v>
      </c>
      <c r="F6" s="82" t="s">
        <v>222</v>
      </c>
      <c r="G6" s="82" t="s">
        <v>237</v>
      </c>
      <c r="H6" s="35"/>
      <c r="I6" s="183" t="s">
        <v>223</v>
      </c>
      <c r="J6" s="184" t="s">
        <v>222</v>
      </c>
      <c r="K6" s="182" t="s">
        <v>237</v>
      </c>
    </row>
    <row r="7" spans="2:11" ht="19.95" customHeight="1">
      <c r="B7" s="64" t="s">
        <v>121</v>
      </c>
      <c r="E7" s="461" t="s">
        <v>137</v>
      </c>
      <c r="F7" s="70" t="s">
        <v>160</v>
      </c>
      <c r="G7" s="71">
        <v>3</v>
      </c>
      <c r="H7" s="35"/>
      <c r="I7" s="454" t="s">
        <v>233</v>
      </c>
      <c r="J7" s="185" t="s">
        <v>293</v>
      </c>
      <c r="K7" s="80">
        <v>4</v>
      </c>
    </row>
    <row r="8" spans="2:11" ht="19.95" customHeight="1">
      <c r="B8" s="62" t="s">
        <v>122</v>
      </c>
      <c r="E8" s="461"/>
      <c r="F8" s="72" t="s">
        <v>138</v>
      </c>
      <c r="G8" s="71">
        <v>3</v>
      </c>
      <c r="I8" s="454"/>
      <c r="J8" s="185" t="s">
        <v>234</v>
      </c>
      <c r="K8" s="80">
        <v>4</v>
      </c>
    </row>
    <row r="9" spans="2:11" ht="19.95" customHeight="1">
      <c r="B9" s="62" t="s">
        <v>123</v>
      </c>
      <c r="E9" s="461"/>
      <c r="F9" s="72" t="s">
        <v>139</v>
      </c>
      <c r="G9" s="71">
        <v>3</v>
      </c>
      <c r="I9" s="454"/>
      <c r="J9" s="185" t="s">
        <v>235</v>
      </c>
      <c r="K9" s="80">
        <v>4</v>
      </c>
    </row>
    <row r="10" spans="2:11" ht="19.95" customHeight="1">
      <c r="B10" s="62" t="s">
        <v>124</v>
      </c>
      <c r="E10" s="461"/>
      <c r="F10" s="72" t="s">
        <v>140</v>
      </c>
      <c r="G10" s="71">
        <v>3</v>
      </c>
      <c r="I10" s="454"/>
      <c r="J10" s="185" t="s">
        <v>236</v>
      </c>
      <c r="K10" s="80">
        <v>4</v>
      </c>
    </row>
    <row r="11" spans="2:11" ht="19.95" customHeight="1" thickBot="1">
      <c r="B11" s="63" t="s">
        <v>125</v>
      </c>
      <c r="E11" s="461"/>
      <c r="F11" s="72" t="s">
        <v>141</v>
      </c>
      <c r="G11" s="71">
        <v>3</v>
      </c>
      <c r="I11" s="454" t="s">
        <v>238</v>
      </c>
      <c r="J11" s="185" t="s">
        <v>239</v>
      </c>
      <c r="K11" s="80">
        <v>4</v>
      </c>
    </row>
    <row r="12" spans="2:11" ht="19.95" customHeight="1" thickBot="1">
      <c r="B12" s="66" t="s">
        <v>119</v>
      </c>
      <c r="E12" s="461"/>
      <c r="F12" s="72" t="s">
        <v>158</v>
      </c>
      <c r="G12" s="71">
        <v>3</v>
      </c>
      <c r="I12" s="454"/>
      <c r="J12" s="185" t="s">
        <v>240</v>
      </c>
      <c r="K12" s="80">
        <v>4</v>
      </c>
    </row>
    <row r="13" spans="2:11" ht="19.95" customHeight="1">
      <c r="B13" s="58" t="s">
        <v>126</v>
      </c>
      <c r="E13" s="461"/>
      <c r="F13" s="72" t="s">
        <v>159</v>
      </c>
      <c r="G13" s="71">
        <v>3</v>
      </c>
      <c r="I13" s="454"/>
      <c r="J13" s="185" t="s">
        <v>241</v>
      </c>
      <c r="K13" s="80">
        <v>4</v>
      </c>
    </row>
    <row r="14" spans="2:11" ht="19.95" customHeight="1">
      <c r="B14" s="59" t="s">
        <v>127</v>
      </c>
      <c r="E14" s="461"/>
      <c r="F14" s="72" t="s">
        <v>142</v>
      </c>
      <c r="G14" s="71">
        <v>3</v>
      </c>
      <c r="I14" s="454"/>
      <c r="J14" s="185" t="s">
        <v>242</v>
      </c>
      <c r="K14" s="80">
        <v>4</v>
      </c>
    </row>
    <row r="15" spans="2:11" ht="19.95" customHeight="1">
      <c r="B15" s="59" t="s">
        <v>128</v>
      </c>
      <c r="E15" s="461"/>
      <c r="F15" s="72" t="s">
        <v>143</v>
      </c>
      <c r="G15" s="71">
        <v>3</v>
      </c>
      <c r="I15" s="454"/>
      <c r="J15" s="185" t="s">
        <v>243</v>
      </c>
      <c r="K15" s="80">
        <v>4</v>
      </c>
    </row>
    <row r="16" spans="2:11" ht="19.95" customHeight="1">
      <c r="B16" s="59" t="s">
        <v>129</v>
      </c>
      <c r="E16" s="461"/>
      <c r="F16" s="72" t="s">
        <v>144</v>
      </c>
      <c r="G16" s="71">
        <v>3</v>
      </c>
      <c r="I16" s="454"/>
      <c r="J16" s="185" t="s">
        <v>244</v>
      </c>
      <c r="K16" s="80">
        <v>4</v>
      </c>
    </row>
    <row r="17" spans="2:11" ht="19.95" customHeight="1">
      <c r="B17" s="60" t="s">
        <v>130</v>
      </c>
      <c r="E17" s="461"/>
      <c r="F17" s="72" t="s">
        <v>157</v>
      </c>
      <c r="G17" s="71">
        <v>3</v>
      </c>
      <c r="I17" s="454"/>
      <c r="J17" s="185" t="s">
        <v>245</v>
      </c>
      <c r="K17" s="80">
        <v>4</v>
      </c>
    </row>
    <row r="18" spans="2:11" ht="19.95" customHeight="1">
      <c r="B18" s="60" t="s">
        <v>131</v>
      </c>
      <c r="E18" s="461"/>
      <c r="F18" s="72" t="s">
        <v>145</v>
      </c>
      <c r="G18" s="71">
        <v>3</v>
      </c>
      <c r="I18" s="454"/>
      <c r="J18" s="185" t="s">
        <v>246</v>
      </c>
      <c r="K18" s="80">
        <v>4</v>
      </c>
    </row>
    <row r="19" spans="2:11" ht="19.95" customHeight="1">
      <c r="B19" s="60" t="s">
        <v>132</v>
      </c>
      <c r="C19" s="68"/>
      <c r="E19" s="461"/>
      <c r="F19" s="72" t="s">
        <v>146</v>
      </c>
      <c r="G19" s="71">
        <v>3</v>
      </c>
      <c r="I19" s="454"/>
      <c r="J19" s="185" t="s">
        <v>247</v>
      </c>
      <c r="K19" s="80">
        <v>4</v>
      </c>
    </row>
    <row r="20" spans="2:11" ht="19.95" customHeight="1">
      <c r="B20" s="60" t="s">
        <v>133</v>
      </c>
      <c r="E20" s="461"/>
      <c r="F20" s="72" t="s">
        <v>147</v>
      </c>
      <c r="G20" s="71">
        <v>6</v>
      </c>
      <c r="I20" s="457" t="s">
        <v>250</v>
      </c>
      <c r="J20" s="186" t="s">
        <v>248</v>
      </c>
      <c r="K20" s="80">
        <v>4</v>
      </c>
    </row>
    <row r="21" spans="2:11" ht="19.95" customHeight="1">
      <c r="B21" s="60" t="s">
        <v>134</v>
      </c>
      <c r="E21" s="461"/>
      <c r="F21" s="72" t="s">
        <v>148</v>
      </c>
      <c r="G21" s="71">
        <v>3</v>
      </c>
      <c r="I21" s="457"/>
      <c r="J21" s="186" t="s">
        <v>249</v>
      </c>
      <c r="K21" s="80">
        <v>4</v>
      </c>
    </row>
    <row r="22" spans="2:11" ht="19.95" customHeight="1" thickBot="1">
      <c r="B22" s="61" t="s">
        <v>135</v>
      </c>
      <c r="E22" s="461"/>
      <c r="F22" s="72" t="s">
        <v>149</v>
      </c>
      <c r="G22" s="71">
        <v>3</v>
      </c>
      <c r="I22" s="454" t="s">
        <v>251</v>
      </c>
      <c r="J22" s="187" t="s">
        <v>252</v>
      </c>
      <c r="K22" s="80">
        <v>4</v>
      </c>
    </row>
    <row r="23" spans="2:11" ht="19.95" customHeight="1">
      <c r="E23" s="461"/>
      <c r="F23" s="72" t="s">
        <v>150</v>
      </c>
      <c r="G23" s="71">
        <v>3</v>
      </c>
      <c r="I23" s="454"/>
      <c r="J23" s="187" t="s">
        <v>253</v>
      </c>
      <c r="K23" s="80">
        <v>4</v>
      </c>
    </row>
    <row r="24" spans="2:11" ht="19.95" customHeight="1">
      <c r="E24" s="461"/>
      <c r="F24" s="72" t="s">
        <v>151</v>
      </c>
      <c r="G24" s="71">
        <v>3</v>
      </c>
      <c r="I24" s="454"/>
      <c r="J24" s="187" t="s">
        <v>254</v>
      </c>
      <c r="K24" s="80">
        <v>4</v>
      </c>
    </row>
    <row r="25" spans="2:11" ht="19.95" customHeight="1">
      <c r="B25" s="83" t="s">
        <v>225</v>
      </c>
      <c r="C25" s="87" t="s">
        <v>228</v>
      </c>
      <c r="E25" s="461"/>
      <c r="F25" s="72" t="s">
        <v>152</v>
      </c>
      <c r="G25" s="71">
        <v>3</v>
      </c>
      <c r="I25" s="454"/>
      <c r="J25" s="187" t="s">
        <v>255</v>
      </c>
      <c r="K25" s="80">
        <v>4</v>
      </c>
    </row>
    <row r="26" spans="2:11" ht="19.95" customHeight="1">
      <c r="B26" s="84" t="s">
        <v>226</v>
      </c>
      <c r="C26" s="78">
        <v>2</v>
      </c>
      <c r="E26" s="461"/>
      <c r="F26" s="72" t="s">
        <v>153</v>
      </c>
      <c r="G26" s="71">
        <v>3</v>
      </c>
      <c r="I26" s="454" t="s">
        <v>260</v>
      </c>
      <c r="J26" s="188" t="s">
        <v>256</v>
      </c>
      <c r="K26" s="80">
        <v>4</v>
      </c>
    </row>
    <row r="27" spans="2:11" ht="19.95" customHeight="1">
      <c r="B27" s="84" t="s">
        <v>103</v>
      </c>
      <c r="C27" s="78">
        <v>2</v>
      </c>
      <c r="E27" s="461"/>
      <c r="F27" s="72" t="s">
        <v>154</v>
      </c>
      <c r="G27" s="71">
        <v>3</v>
      </c>
      <c r="I27" s="454"/>
      <c r="J27" s="188" t="s">
        <v>257</v>
      </c>
      <c r="K27" s="80">
        <v>4</v>
      </c>
    </row>
    <row r="28" spans="2:11" ht="19.95" customHeight="1">
      <c r="B28" s="84" t="s">
        <v>104</v>
      </c>
      <c r="C28" s="78">
        <v>2</v>
      </c>
      <c r="E28" s="461"/>
      <c r="F28" s="72" t="s">
        <v>155</v>
      </c>
      <c r="G28" s="71">
        <v>3</v>
      </c>
      <c r="I28" s="454"/>
      <c r="J28" s="188" t="s">
        <v>258</v>
      </c>
      <c r="K28" s="80">
        <v>4</v>
      </c>
    </row>
    <row r="29" spans="2:11" ht="19.95" customHeight="1">
      <c r="B29" s="84" t="s">
        <v>105</v>
      </c>
      <c r="C29" s="78">
        <v>2</v>
      </c>
      <c r="E29" s="461"/>
      <c r="F29" s="72" t="s">
        <v>156</v>
      </c>
      <c r="G29" s="71">
        <v>3</v>
      </c>
      <c r="I29" s="454"/>
      <c r="J29" s="188" t="s">
        <v>259</v>
      </c>
      <c r="K29" s="80">
        <v>4</v>
      </c>
    </row>
    <row r="30" spans="2:11" ht="19.95" customHeight="1">
      <c r="B30" s="84" t="s">
        <v>227</v>
      </c>
      <c r="C30" s="78">
        <v>2</v>
      </c>
      <c r="E30" s="461"/>
      <c r="F30" s="72" t="s">
        <v>161</v>
      </c>
      <c r="G30" s="71">
        <v>3</v>
      </c>
      <c r="I30" s="454" t="s">
        <v>261</v>
      </c>
      <c r="J30" s="188" t="s">
        <v>262</v>
      </c>
      <c r="K30" s="80">
        <v>4</v>
      </c>
    </row>
    <row r="31" spans="2:11" ht="19.95" customHeight="1">
      <c r="E31" s="461"/>
      <c r="F31" s="72" t="s">
        <v>162</v>
      </c>
      <c r="G31" s="71">
        <v>3</v>
      </c>
      <c r="I31" s="454"/>
      <c r="J31" s="188" t="s">
        <v>263</v>
      </c>
      <c r="K31" s="80">
        <v>4</v>
      </c>
    </row>
    <row r="32" spans="2:11" ht="19.95" customHeight="1">
      <c r="E32" s="462" t="s">
        <v>163</v>
      </c>
      <c r="F32" s="73" t="s">
        <v>164</v>
      </c>
      <c r="G32" s="74">
        <v>3</v>
      </c>
      <c r="I32" s="454"/>
      <c r="J32" s="188" t="s">
        <v>264</v>
      </c>
      <c r="K32" s="80">
        <v>4</v>
      </c>
    </row>
    <row r="33" spans="5:11" ht="19.95" customHeight="1">
      <c r="E33" s="462"/>
      <c r="F33" s="73" t="s">
        <v>165</v>
      </c>
      <c r="G33" s="74">
        <v>3</v>
      </c>
      <c r="I33" s="454" t="s">
        <v>272</v>
      </c>
      <c r="J33" s="187" t="s">
        <v>265</v>
      </c>
      <c r="K33" s="80">
        <v>4</v>
      </c>
    </row>
    <row r="34" spans="5:11" ht="19.95" customHeight="1">
      <c r="E34" s="462"/>
      <c r="F34" s="73" t="s">
        <v>166</v>
      </c>
      <c r="G34" s="74">
        <v>3</v>
      </c>
      <c r="I34" s="454"/>
      <c r="J34" s="187" t="s">
        <v>266</v>
      </c>
      <c r="K34" s="80">
        <v>4</v>
      </c>
    </row>
    <row r="35" spans="5:11" ht="19.95" customHeight="1">
      <c r="E35" s="462"/>
      <c r="F35" s="73" t="s">
        <v>167</v>
      </c>
      <c r="G35" s="74">
        <v>3</v>
      </c>
      <c r="I35" s="454"/>
      <c r="J35" s="187" t="s">
        <v>267</v>
      </c>
      <c r="K35" s="80">
        <v>4</v>
      </c>
    </row>
    <row r="36" spans="5:11" ht="19.95" customHeight="1">
      <c r="E36" s="462"/>
      <c r="F36" s="73" t="s">
        <v>168</v>
      </c>
      <c r="G36" s="74">
        <v>3</v>
      </c>
      <c r="I36" s="454"/>
      <c r="J36" s="187" t="s">
        <v>268</v>
      </c>
      <c r="K36" s="80">
        <v>4</v>
      </c>
    </row>
    <row r="37" spans="5:11" ht="19.95" customHeight="1">
      <c r="E37" s="462"/>
      <c r="F37" s="73" t="s">
        <v>169</v>
      </c>
      <c r="G37" s="74">
        <v>3</v>
      </c>
      <c r="I37" s="454"/>
      <c r="J37" s="187" t="s">
        <v>269</v>
      </c>
      <c r="K37" s="80">
        <v>4</v>
      </c>
    </row>
    <row r="38" spans="5:11" ht="19.95" customHeight="1">
      <c r="E38" s="463" t="s">
        <v>170</v>
      </c>
      <c r="F38" s="75" t="s">
        <v>171</v>
      </c>
      <c r="G38" s="76">
        <v>3</v>
      </c>
      <c r="I38" s="454"/>
      <c r="J38" s="187" t="s">
        <v>270</v>
      </c>
      <c r="K38" s="80">
        <v>4</v>
      </c>
    </row>
    <row r="39" spans="5:11" ht="19.95" customHeight="1">
      <c r="E39" s="463"/>
      <c r="F39" s="75" t="s">
        <v>172</v>
      </c>
      <c r="G39" s="76">
        <v>3</v>
      </c>
      <c r="I39" s="454"/>
      <c r="J39" s="187" t="s">
        <v>271</v>
      </c>
      <c r="K39" s="80">
        <v>4</v>
      </c>
    </row>
    <row r="40" spans="5:11" ht="19.95" customHeight="1">
      <c r="E40" s="463"/>
      <c r="F40" s="75" t="s">
        <v>173</v>
      </c>
      <c r="G40" s="76">
        <v>3</v>
      </c>
      <c r="I40" s="454" t="s">
        <v>273</v>
      </c>
      <c r="J40" s="188" t="s">
        <v>274</v>
      </c>
      <c r="K40" s="80">
        <v>4</v>
      </c>
    </row>
    <row r="41" spans="5:11" ht="19.95" customHeight="1">
      <c r="E41" s="463"/>
      <c r="F41" s="75" t="s">
        <v>174</v>
      </c>
      <c r="G41" s="76">
        <v>3</v>
      </c>
      <c r="I41" s="454"/>
      <c r="J41" s="188" t="s">
        <v>275</v>
      </c>
      <c r="K41" s="80">
        <v>4</v>
      </c>
    </row>
    <row r="42" spans="5:11" ht="19.95" customHeight="1">
      <c r="E42" s="463"/>
      <c r="F42" s="75" t="s">
        <v>175</v>
      </c>
      <c r="G42" s="76">
        <v>3</v>
      </c>
      <c r="I42" s="454"/>
      <c r="J42" s="188" t="s">
        <v>276</v>
      </c>
      <c r="K42" s="80">
        <v>4</v>
      </c>
    </row>
    <row r="43" spans="5:11" ht="19.95" customHeight="1">
      <c r="E43" s="463"/>
      <c r="F43" s="75" t="s">
        <v>176</v>
      </c>
      <c r="G43" s="76">
        <v>3</v>
      </c>
      <c r="I43" s="454"/>
      <c r="J43" s="188" t="s">
        <v>277</v>
      </c>
      <c r="K43" s="80">
        <v>4</v>
      </c>
    </row>
    <row r="44" spans="5:11" ht="19.95" customHeight="1">
      <c r="E44" s="463"/>
      <c r="F44" s="75" t="s">
        <v>177</v>
      </c>
      <c r="G44" s="76">
        <v>3</v>
      </c>
      <c r="I44" s="454"/>
      <c r="J44" s="188" t="s">
        <v>278</v>
      </c>
      <c r="K44" s="80">
        <v>4</v>
      </c>
    </row>
    <row r="45" spans="5:11" ht="19.95" customHeight="1">
      <c r="E45" s="463"/>
      <c r="F45" s="75" t="s">
        <v>178</v>
      </c>
      <c r="G45" s="76">
        <v>3</v>
      </c>
      <c r="I45" s="454"/>
      <c r="J45" s="188" t="s">
        <v>279</v>
      </c>
      <c r="K45" s="80">
        <v>4</v>
      </c>
    </row>
    <row r="46" spans="5:11" ht="19.95" customHeight="1">
      <c r="E46" s="463"/>
      <c r="F46" s="75" t="s">
        <v>179</v>
      </c>
      <c r="G46" s="76">
        <v>3</v>
      </c>
      <c r="I46" s="455" t="s">
        <v>280</v>
      </c>
      <c r="J46" s="188" t="s">
        <v>281</v>
      </c>
      <c r="K46" s="80">
        <v>4</v>
      </c>
    </row>
    <row r="47" spans="5:11" ht="19.95" customHeight="1">
      <c r="E47" s="463"/>
      <c r="F47" s="75" t="s">
        <v>180</v>
      </c>
      <c r="G47" s="76">
        <v>3</v>
      </c>
      <c r="I47" s="455"/>
      <c r="J47" s="188" t="s">
        <v>282</v>
      </c>
      <c r="K47" s="80">
        <v>4</v>
      </c>
    </row>
    <row r="48" spans="5:11" ht="19.95" customHeight="1">
      <c r="E48" s="463"/>
      <c r="F48" s="75" t="s">
        <v>181</v>
      </c>
      <c r="G48" s="76">
        <v>3</v>
      </c>
      <c r="I48" s="455"/>
      <c r="J48" s="188" t="s">
        <v>283</v>
      </c>
      <c r="K48" s="80">
        <v>4</v>
      </c>
    </row>
    <row r="49" spans="5:11" ht="19.95" customHeight="1">
      <c r="E49" s="463"/>
      <c r="F49" s="75" t="s">
        <v>182</v>
      </c>
      <c r="G49" s="76">
        <v>3</v>
      </c>
      <c r="I49" s="455"/>
      <c r="J49" s="188" t="s">
        <v>284</v>
      </c>
      <c r="K49" s="80">
        <v>4</v>
      </c>
    </row>
    <row r="50" spans="5:11" ht="19.95" customHeight="1">
      <c r="E50" s="463"/>
      <c r="F50" s="75" t="s">
        <v>183</v>
      </c>
      <c r="G50" s="76">
        <v>3</v>
      </c>
      <c r="I50" s="455"/>
      <c r="J50" s="188" t="s">
        <v>285</v>
      </c>
      <c r="K50" s="80">
        <v>4</v>
      </c>
    </row>
    <row r="51" spans="5:11" ht="19.95" customHeight="1">
      <c r="E51" s="463"/>
      <c r="F51" s="75" t="s">
        <v>184</v>
      </c>
      <c r="G51" s="76">
        <v>3</v>
      </c>
      <c r="I51" s="455"/>
      <c r="J51" s="188" t="s">
        <v>286</v>
      </c>
      <c r="K51" s="80">
        <v>4</v>
      </c>
    </row>
    <row r="52" spans="5:11" ht="19.95" customHeight="1">
      <c r="E52" s="463"/>
      <c r="F52" s="75" t="s">
        <v>185</v>
      </c>
      <c r="G52" s="76">
        <v>3</v>
      </c>
      <c r="I52" s="453" t="s">
        <v>287</v>
      </c>
      <c r="J52" s="188" t="s">
        <v>288</v>
      </c>
      <c r="K52" s="80">
        <v>4</v>
      </c>
    </row>
    <row r="53" spans="5:11" ht="19.95" customHeight="1">
      <c r="E53" s="463"/>
      <c r="F53" s="75" t="s">
        <v>186</v>
      </c>
      <c r="G53" s="76">
        <v>3</v>
      </c>
      <c r="I53" s="453"/>
      <c r="J53" s="188" t="s">
        <v>289</v>
      </c>
      <c r="K53" s="80">
        <v>4</v>
      </c>
    </row>
    <row r="54" spans="5:11" ht="19.95" customHeight="1">
      <c r="E54" s="463"/>
      <c r="F54" s="75" t="s">
        <v>187</v>
      </c>
      <c r="G54" s="76">
        <v>3</v>
      </c>
      <c r="I54" s="453"/>
      <c r="J54" s="188" t="s">
        <v>290</v>
      </c>
      <c r="K54" s="80">
        <v>4</v>
      </c>
    </row>
    <row r="55" spans="5:11" ht="19.95" customHeight="1">
      <c r="E55" s="463"/>
      <c r="F55" s="75" t="s">
        <v>188</v>
      </c>
      <c r="G55" s="76">
        <v>3</v>
      </c>
      <c r="I55" s="189" t="s">
        <v>291</v>
      </c>
      <c r="J55" s="188" t="s">
        <v>292</v>
      </c>
      <c r="K55" s="80">
        <v>4</v>
      </c>
    </row>
    <row r="56" spans="5:11" ht="19.95" customHeight="1">
      <c r="E56" s="463"/>
      <c r="F56" s="75" t="s">
        <v>189</v>
      </c>
      <c r="G56" s="76">
        <v>3</v>
      </c>
    </row>
    <row r="57" spans="5:11" ht="19.95" customHeight="1">
      <c r="E57" s="463"/>
      <c r="F57" s="75" t="s">
        <v>190</v>
      </c>
      <c r="G57" s="76">
        <v>3</v>
      </c>
    </row>
    <row r="58" spans="5:11" ht="19.95" customHeight="1">
      <c r="E58" s="463"/>
      <c r="F58" s="75" t="s">
        <v>191</v>
      </c>
      <c r="G58" s="76">
        <v>3</v>
      </c>
    </row>
    <row r="59" spans="5:11" ht="19.95" customHeight="1">
      <c r="E59" s="463"/>
      <c r="F59" s="75" t="s">
        <v>192</v>
      </c>
      <c r="G59" s="76">
        <v>3</v>
      </c>
    </row>
    <row r="60" spans="5:11" ht="19.95" customHeight="1">
      <c r="E60" s="463"/>
      <c r="F60" s="75" t="s">
        <v>193</v>
      </c>
      <c r="G60" s="76">
        <v>3</v>
      </c>
    </row>
    <row r="61" spans="5:11" ht="19.95" customHeight="1">
      <c r="E61" s="463"/>
      <c r="F61" s="75" t="s">
        <v>194</v>
      </c>
      <c r="G61" s="76">
        <v>3</v>
      </c>
    </row>
    <row r="62" spans="5:11" ht="19.95" customHeight="1">
      <c r="E62" s="463"/>
      <c r="F62" s="75" t="s">
        <v>195</v>
      </c>
      <c r="G62" s="76">
        <v>3</v>
      </c>
    </row>
    <row r="63" spans="5:11" ht="19.95" customHeight="1">
      <c r="E63" s="463"/>
      <c r="F63" s="75" t="s">
        <v>196</v>
      </c>
      <c r="G63" s="76">
        <v>3</v>
      </c>
    </row>
    <row r="64" spans="5:11" ht="19.95" customHeight="1">
      <c r="E64" s="458" t="s">
        <v>207</v>
      </c>
      <c r="F64" s="77" t="s">
        <v>197</v>
      </c>
      <c r="G64" s="78">
        <v>3</v>
      </c>
    </row>
    <row r="65" spans="5:7" ht="19.95" customHeight="1">
      <c r="E65" s="458"/>
      <c r="F65" s="77" t="s">
        <v>198</v>
      </c>
      <c r="G65" s="78">
        <v>3</v>
      </c>
    </row>
    <row r="66" spans="5:7" ht="19.95" customHeight="1">
      <c r="E66" s="458"/>
      <c r="F66" s="77" t="s">
        <v>199</v>
      </c>
      <c r="G66" s="78">
        <v>3</v>
      </c>
    </row>
    <row r="67" spans="5:7" ht="19.95" customHeight="1">
      <c r="E67" s="458"/>
      <c r="F67" s="77" t="s">
        <v>200</v>
      </c>
      <c r="G67" s="78">
        <v>3</v>
      </c>
    </row>
    <row r="68" spans="5:7" ht="19.95" customHeight="1">
      <c r="E68" s="458"/>
      <c r="F68" s="77" t="s">
        <v>201</v>
      </c>
      <c r="G68" s="78">
        <v>3</v>
      </c>
    </row>
    <row r="69" spans="5:7" ht="19.95" customHeight="1">
      <c r="E69" s="458"/>
      <c r="F69" s="77" t="s">
        <v>202</v>
      </c>
      <c r="G69" s="78">
        <v>3</v>
      </c>
    </row>
    <row r="70" spans="5:7" ht="19.95" customHeight="1">
      <c r="E70" s="458"/>
      <c r="F70" s="77" t="s">
        <v>203</v>
      </c>
      <c r="G70" s="78">
        <v>3</v>
      </c>
    </row>
    <row r="71" spans="5:7" ht="19.95" customHeight="1">
      <c r="E71" s="458"/>
      <c r="F71" s="77" t="s">
        <v>204</v>
      </c>
      <c r="G71" s="78">
        <v>3</v>
      </c>
    </row>
    <row r="72" spans="5:7" ht="19.95" customHeight="1">
      <c r="E72" s="458"/>
      <c r="F72" s="77" t="s">
        <v>205</v>
      </c>
      <c r="G72" s="78">
        <v>3</v>
      </c>
    </row>
    <row r="73" spans="5:7" ht="19.95" customHeight="1">
      <c r="E73" s="458"/>
      <c r="F73" s="77" t="s">
        <v>206</v>
      </c>
      <c r="G73" s="78">
        <v>3</v>
      </c>
    </row>
    <row r="74" spans="5:7" ht="19.95" customHeight="1">
      <c r="E74" s="459" t="s">
        <v>208</v>
      </c>
      <c r="F74" s="79" t="s">
        <v>209</v>
      </c>
      <c r="G74" s="80">
        <v>6</v>
      </c>
    </row>
    <row r="75" spans="5:7" ht="19.95" customHeight="1">
      <c r="E75" s="459"/>
      <c r="F75" s="79" t="s">
        <v>210</v>
      </c>
      <c r="G75" s="80">
        <v>6</v>
      </c>
    </row>
    <row r="76" spans="5:7" ht="19.95" customHeight="1">
      <c r="E76" s="459"/>
      <c r="F76" s="79" t="s">
        <v>211</v>
      </c>
      <c r="G76" s="80">
        <v>6</v>
      </c>
    </row>
    <row r="77" spans="5:7" ht="19.95" customHeight="1">
      <c r="E77" s="459"/>
      <c r="F77" s="79" t="s">
        <v>212</v>
      </c>
      <c r="G77" s="80">
        <v>6</v>
      </c>
    </row>
    <row r="78" spans="5:7" ht="19.95" customHeight="1">
      <c r="E78" s="459"/>
      <c r="F78" s="79" t="s">
        <v>213</v>
      </c>
      <c r="G78" s="80">
        <v>6</v>
      </c>
    </row>
    <row r="79" spans="5:7" ht="19.95" customHeight="1">
      <c r="E79" s="459"/>
      <c r="F79" s="79" t="s">
        <v>214</v>
      </c>
      <c r="G79" s="80">
        <v>6</v>
      </c>
    </row>
    <row r="80" spans="5:7" ht="19.95" customHeight="1">
      <c r="E80" s="459"/>
      <c r="F80" s="79" t="s">
        <v>215</v>
      </c>
      <c r="G80" s="80">
        <v>6</v>
      </c>
    </row>
    <row r="81" spans="5:7" ht="19.95" customHeight="1">
      <c r="E81" s="459"/>
      <c r="F81" s="79" t="s">
        <v>216</v>
      </c>
      <c r="G81" s="80">
        <v>3</v>
      </c>
    </row>
    <row r="82" spans="5:7" ht="19.95" customHeight="1">
      <c r="E82" s="459"/>
      <c r="F82" s="79" t="s">
        <v>217</v>
      </c>
      <c r="G82" s="80">
        <v>3</v>
      </c>
    </row>
    <row r="83" spans="5:7" ht="19.95" customHeight="1">
      <c r="E83" s="459"/>
      <c r="F83" s="79" t="s">
        <v>218</v>
      </c>
      <c r="G83" s="80">
        <v>3</v>
      </c>
    </row>
    <row r="84" spans="5:7" ht="19.95" customHeight="1">
      <c r="E84" s="459"/>
      <c r="F84" s="79" t="s">
        <v>219</v>
      </c>
      <c r="G84" s="80">
        <v>3</v>
      </c>
    </row>
    <row r="85" spans="5:7" ht="19.95" customHeight="1">
      <c r="E85" s="459"/>
      <c r="F85" s="79" t="s">
        <v>220</v>
      </c>
      <c r="G85" s="80">
        <v>3</v>
      </c>
    </row>
    <row r="86" spans="5:7" ht="19.95" customHeight="1">
      <c r="E86" s="459"/>
      <c r="F86" s="79" t="s">
        <v>221</v>
      </c>
      <c r="G86" s="80">
        <v>3</v>
      </c>
    </row>
  </sheetData>
  <mergeCells count="17">
    <mergeCell ref="E64:E73"/>
    <mergeCell ref="E74:E86"/>
    <mergeCell ref="E5:G5"/>
    <mergeCell ref="E7:E31"/>
    <mergeCell ref="E32:E37"/>
    <mergeCell ref="E38:E63"/>
    <mergeCell ref="I5:K5"/>
    <mergeCell ref="I7:I10"/>
    <mergeCell ref="I11:I19"/>
    <mergeCell ref="I20:I21"/>
    <mergeCell ref="I22:I25"/>
    <mergeCell ref="I52:I54"/>
    <mergeCell ref="I26:I29"/>
    <mergeCell ref="I30:I32"/>
    <mergeCell ref="I33:I39"/>
    <mergeCell ref="I40:I45"/>
    <mergeCell ref="I46:I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Home</vt:lpstr>
      <vt:lpstr>INPUT DATA</vt:lpstr>
      <vt:lpstr>TERM 1 SUMMARY</vt:lpstr>
      <vt:lpstr>TERM 2 SUMMARY</vt:lpstr>
      <vt:lpstr>TERM 3 SUMMARY</vt:lpstr>
      <vt:lpstr>SF9 - GRADE 11 ACADEMIC</vt:lpstr>
      <vt:lpstr>HELPER</vt:lpstr>
      <vt:lpstr>'INPUT DATA'!Print_Area</vt:lpstr>
      <vt:lpstr>'SF9 - GRADE 11 ACADEMIC'!Print_Area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arzagachrisdale5@gmail.com</cp:lastModifiedBy>
  <cp:lastPrinted>2026-08-27T04:30:42Z</cp:lastPrinted>
  <dcterms:created xsi:type="dcterms:W3CDTF">2026-08-26T09:34:32Z</dcterms:created>
  <dcterms:modified xsi:type="dcterms:W3CDTF">2026-09-16T05:23:02Z</dcterms:modified>
</cp:coreProperties>
</file>